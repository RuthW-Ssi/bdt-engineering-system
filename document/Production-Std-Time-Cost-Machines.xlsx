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D:\BDT-Factory Control\"/>
    </mc:Choice>
  </mc:AlternateContent>
  <xr:revisionPtr revIDLastSave="0" documentId="8_{554DD036-8228-43F2-AC4D-C951E1A864C4}" xr6:coauthVersionLast="47" xr6:coauthVersionMax="47" xr10:uidLastSave="{00000000-0000-0000-0000-000000000000}"/>
  <bookViews>
    <workbookView xWindow="0" yWindow="0" windowWidth="23040" windowHeight="9276" firstSheet="12" xr2:uid="{00000000-000D-0000-FFFF-FFFF00000000}"/>
  </bookViews>
  <sheets>
    <sheet name="Summary" sheetId="1" r:id="rId1"/>
    <sheet name="Main" sheetId="2" r:id="rId2"/>
    <sheet name="CNC Plate 01" sheetId="3" r:id="rId3"/>
    <sheet name="CNC Plate 02" sheetId="4" r:id="rId4"/>
    <sheet name="CNC Pipe Plasma 01" sheetId="5" r:id="rId5"/>
    <sheet name="CNC Pipe Plasma 03" sheetId="7" r:id="rId6"/>
    <sheet name="CNC Pipe Plasma 02" sheetId="6" r:id="rId7"/>
    <sheet name="SAW Machine" sheetId="8" r:id="rId8"/>
    <sheet name="CNC Plate Drill" sheetId="9" r:id="rId9"/>
    <sheet name="Press Brake" sheetId="10" r:id="rId10"/>
    <sheet name="Hydraulic Press" sheetId="11" r:id="rId11"/>
    <sheet name="Straightening Machine" sheetId="12" r:id="rId12"/>
    <sheet name="Rod Threading Machine" sheetId="13" r:id="rId13"/>
    <sheet name="Lookups_Pipe" sheetId="14" r:id="rId14"/>
    <sheet name="Lookups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3" l="1"/>
  <c r="B14" i="13"/>
  <c r="B5" i="13"/>
  <c r="B4" i="13"/>
  <c r="B9" i="13" s="1"/>
  <c r="B13" i="12"/>
  <c r="B12" i="12"/>
  <c r="N7" i="12"/>
  <c r="L7" i="12"/>
  <c r="M6" i="12"/>
  <c r="B5" i="12"/>
  <c r="B4" i="12"/>
  <c r="B13" i="11"/>
  <c r="B12" i="11"/>
  <c r="N7" i="11"/>
  <c r="L7" i="11"/>
  <c r="B7" i="11"/>
  <c r="M6" i="11"/>
  <c r="B4" i="11"/>
  <c r="B13" i="10"/>
  <c r="B12" i="10"/>
  <c r="N7" i="10"/>
  <c r="L7" i="10"/>
  <c r="B7" i="10"/>
  <c r="M6" i="10"/>
  <c r="B4" i="10"/>
  <c r="B14" i="9"/>
  <c r="B13" i="9"/>
  <c r="N7" i="9"/>
  <c r="L7" i="9"/>
  <c r="M6" i="9"/>
  <c r="B4" i="9"/>
  <c r="B5" i="9" s="1"/>
  <c r="B13" i="8"/>
  <c r="B12" i="8"/>
  <c r="M6" i="8"/>
  <c r="B5" i="8"/>
  <c r="B4" i="8"/>
  <c r="B19" i="7"/>
  <c r="B18" i="7"/>
  <c r="N7" i="7"/>
  <c r="L7" i="7"/>
  <c r="M6" i="7"/>
  <c r="I5" i="7"/>
  <c r="B5" i="7"/>
  <c r="I4" i="7"/>
  <c r="B4" i="7"/>
  <c r="B19" i="6"/>
  <c r="B18" i="6"/>
  <c r="N7" i="6"/>
  <c r="L7" i="6"/>
  <c r="M6" i="6"/>
  <c r="I5" i="6"/>
  <c r="B5" i="6"/>
  <c r="I4" i="6"/>
  <c r="B4" i="6"/>
  <c r="B19" i="5"/>
  <c r="B18" i="5"/>
  <c r="N7" i="5"/>
  <c r="L7" i="5"/>
  <c r="M6" i="5"/>
  <c r="I5" i="5"/>
  <c r="B5" i="5"/>
  <c r="I4" i="5"/>
  <c r="B4" i="5"/>
  <c r="B37" i="4"/>
  <c r="B36" i="4"/>
  <c r="B23" i="4"/>
  <c r="B22" i="4"/>
  <c r="B19" i="4"/>
  <c r="B18" i="4"/>
  <c r="N7" i="4"/>
  <c r="M6" i="4"/>
  <c r="F6" i="4"/>
  <c r="B32" i="4" s="1"/>
  <c r="J5" i="4"/>
  <c r="B5" i="4"/>
  <c r="J4" i="4"/>
  <c r="B4" i="4"/>
  <c r="B37" i="3"/>
  <c r="B36" i="3"/>
  <c r="B23" i="3"/>
  <c r="B22" i="3"/>
  <c r="B19" i="3"/>
  <c r="B18" i="3"/>
  <c r="M6" i="3"/>
  <c r="M7" i="3" s="1"/>
  <c r="F6" i="3"/>
  <c r="J5" i="3"/>
  <c r="B5" i="3"/>
  <c r="J4" i="3"/>
  <c r="B4" i="3"/>
  <c r="B12" i="3" s="1"/>
  <c r="B21" i="2"/>
  <c r="B20" i="2"/>
  <c r="B19" i="2"/>
  <c r="F16" i="2"/>
  <c r="F15" i="2"/>
  <c r="F14" i="2"/>
  <c r="B8" i="2"/>
  <c r="B5" i="10" l="1"/>
  <c r="B5" i="11"/>
  <c r="B10" i="11" s="1"/>
  <c r="B6" i="9"/>
  <c r="B11" i="9" s="1"/>
  <c r="B28" i="4"/>
  <c r="B10" i="4"/>
  <c r="L8" i="10"/>
  <c r="L8" i="12"/>
  <c r="F5" i="12"/>
  <c r="B9" i="12" s="1"/>
  <c r="L8" i="11"/>
  <c r="F5" i="11"/>
  <c r="B9" i="11" s="1"/>
  <c r="F5" i="10"/>
  <c r="B9" i="10" s="1"/>
  <c r="F5" i="8"/>
  <c r="B9" i="8" s="1"/>
  <c r="L8" i="7"/>
  <c r="L8" i="6"/>
  <c r="L8" i="5"/>
  <c r="B32" i="3"/>
  <c r="B14" i="3"/>
  <c r="B26" i="3"/>
  <c r="B30" i="3"/>
  <c r="B27" i="3"/>
  <c r="B25" i="3"/>
  <c r="B24" i="3"/>
  <c r="B9" i="4"/>
  <c r="B12" i="4"/>
  <c r="B26" i="4"/>
  <c r="B27" i="4"/>
  <c r="I10" i="5"/>
  <c r="B7" i="5" s="1"/>
  <c r="I6" i="5"/>
  <c r="I7" i="5" s="1"/>
  <c r="I10" i="6"/>
  <c r="B7" i="6" s="1"/>
  <c r="I6" i="6"/>
  <c r="I7" i="6" s="1"/>
  <c r="I10" i="7"/>
  <c r="B7" i="7" s="1"/>
  <c r="I6" i="7"/>
  <c r="I7" i="7" s="1"/>
  <c r="M9" i="8"/>
  <c r="B7" i="9"/>
  <c r="I9" i="5"/>
  <c r="B6" i="5" s="1"/>
  <c r="I9" i="7"/>
  <c r="B6" i="7" s="1"/>
  <c r="I9" i="6"/>
  <c r="B6" i="6" s="1"/>
  <c r="I8" i="6"/>
  <c r="I11" i="6" s="1"/>
  <c r="B8" i="6" s="1"/>
  <c r="B10" i="5"/>
  <c r="B10" i="7"/>
  <c r="B9" i="9"/>
  <c r="B12" i="1"/>
  <c r="B12" i="9"/>
  <c r="I8" i="5"/>
  <c r="I12" i="5" s="1"/>
  <c r="B9" i="5" s="1"/>
  <c r="I11" i="5"/>
  <c r="B8" i="5" s="1"/>
  <c r="I8" i="7"/>
  <c r="B6" i="10"/>
  <c r="B10" i="10"/>
  <c r="B10" i="6"/>
  <c r="B7" i="3"/>
  <c r="B10" i="3"/>
  <c r="B6" i="12"/>
  <c r="F5" i="13"/>
  <c r="B11" i="13" s="1"/>
  <c r="M7" i="8"/>
  <c r="B8" i="4"/>
  <c r="B14" i="4"/>
  <c r="B24" i="4"/>
  <c r="B29" i="4" s="1"/>
  <c r="B30" i="4"/>
  <c r="F7" i="5"/>
  <c r="B14" i="5" s="1"/>
  <c r="F7" i="6"/>
  <c r="B14" i="6" s="1"/>
  <c r="F7" i="7"/>
  <c r="B14" i="7" s="1"/>
  <c r="M8" i="8"/>
  <c r="B6" i="13"/>
  <c r="B8" i="3"/>
  <c r="B7" i="4"/>
  <c r="B6" i="3"/>
  <c r="B11" i="3" s="1"/>
  <c r="B9" i="3"/>
  <c r="B6" i="11"/>
  <c r="B6" i="4"/>
  <c r="B11" i="4" s="1"/>
  <c r="B25" i="4"/>
  <c r="L8" i="9"/>
  <c r="B7" i="13"/>
  <c r="B12" i="13" s="1"/>
  <c r="B28" i="3"/>
  <c r="B29" i="3" s="1"/>
  <c r="B11" i="5"/>
  <c r="B11" i="6"/>
  <c r="B11" i="7"/>
  <c r="B6" i="8"/>
  <c r="F5" i="9"/>
  <c r="B10" i="9" s="1"/>
  <c r="F12" i="9" s="1"/>
  <c r="D12" i="1" s="1"/>
  <c r="B10" i="12" l="1"/>
  <c r="B7" i="12"/>
  <c r="I11" i="7"/>
  <c r="B8" i="7" s="1"/>
  <c r="I12" i="7"/>
  <c r="B9" i="7" s="1"/>
  <c r="B12" i="7"/>
  <c r="B12" i="5"/>
  <c r="B13" i="3"/>
  <c r="B4" i="1"/>
  <c r="B15" i="3"/>
  <c r="B17" i="3"/>
  <c r="B16" i="3"/>
  <c r="F12" i="3" s="1"/>
  <c r="D4" i="1" s="1"/>
  <c r="B16" i="7"/>
  <c r="B15" i="7"/>
  <c r="B17" i="7"/>
  <c r="B10" i="1"/>
  <c r="B8" i="11"/>
  <c r="B14" i="1"/>
  <c r="B11" i="11"/>
  <c r="F12" i="11" s="1"/>
  <c r="D14" i="1" s="1"/>
  <c r="B12" i="6"/>
  <c r="F13" i="9"/>
  <c r="G12" i="1" s="1"/>
  <c r="F12" i="1"/>
  <c r="B13" i="7"/>
  <c r="B33" i="4"/>
  <c r="B31" i="4"/>
  <c r="B35" i="4"/>
  <c r="B34" i="4"/>
  <c r="F25" i="4" s="1"/>
  <c r="D7" i="1" s="1"/>
  <c r="B7" i="1"/>
  <c r="I12" i="6"/>
  <c r="B9" i="6" s="1"/>
  <c r="B16" i="5"/>
  <c r="B15" i="5"/>
  <c r="B8" i="1"/>
  <c r="B17" i="5"/>
  <c r="B35" i="3"/>
  <c r="B34" i="3"/>
  <c r="B33" i="3"/>
  <c r="B5" i="1"/>
  <c r="B31" i="3"/>
  <c r="B13" i="5"/>
  <c r="B8" i="13"/>
  <c r="B8" i="10"/>
  <c r="B11" i="10"/>
  <c r="F12" i="10"/>
  <c r="D13" i="1" s="1"/>
  <c r="B13" i="1"/>
  <c r="B10" i="8"/>
  <c r="B7" i="8"/>
  <c r="B17" i="4"/>
  <c r="B16" i="4"/>
  <c r="B15" i="4"/>
  <c r="F12" i="4" s="1"/>
  <c r="D6" i="1" s="1"/>
  <c r="B13" i="4"/>
  <c r="B6" i="1"/>
  <c r="B15" i="1"/>
  <c r="B11" i="12"/>
  <c r="F12" i="12" s="1"/>
  <c r="D15" i="1" s="1"/>
  <c r="B8" i="12"/>
  <c r="F25" i="3" l="1"/>
  <c r="D5" i="1" s="1"/>
  <c r="F16" i="5"/>
  <c r="F16" i="7"/>
  <c r="F15" i="5"/>
  <c r="D8" i="1" s="1"/>
  <c r="F15" i="7"/>
  <c r="D10" i="1" s="1"/>
  <c r="F13" i="1"/>
  <c r="F13" i="10"/>
  <c r="G13" i="1" s="1"/>
  <c r="F15" i="1"/>
  <c r="F13" i="12"/>
  <c r="G15" i="1" s="1"/>
  <c r="B13" i="13"/>
  <c r="B16" i="1"/>
  <c r="B10" i="13"/>
  <c r="F4" i="1"/>
  <c r="F13" i="3"/>
  <c r="G4" i="1" s="1"/>
  <c r="J6" i="3"/>
  <c r="G8" i="1"/>
  <c r="F8" i="1"/>
  <c r="B11" i="8"/>
  <c r="F12" i="8" s="1"/>
  <c r="D11" i="1" s="1"/>
  <c r="B11" i="1"/>
  <c r="B8" i="8"/>
  <c r="B16" i="6"/>
  <c r="B15" i="6"/>
  <c r="B17" i="6"/>
  <c r="B9" i="1"/>
  <c r="F5" i="1"/>
  <c r="F26" i="3"/>
  <c r="F7" i="1"/>
  <c r="F26" i="4"/>
  <c r="G7" i="1" s="1"/>
  <c r="J6" i="4"/>
  <c r="F13" i="4"/>
  <c r="G6" i="1" s="1"/>
  <c r="F6" i="1"/>
  <c r="B13" i="6"/>
  <c r="F10" i="1"/>
  <c r="G10" i="1"/>
  <c r="F13" i="11"/>
  <c r="G14" i="1" s="1"/>
  <c r="F14" i="1"/>
  <c r="G5" i="1" l="1"/>
  <c r="J7" i="3"/>
  <c r="F15" i="6"/>
  <c r="F16" i="6"/>
  <c r="G9" i="1" s="1"/>
  <c r="F11" i="1"/>
  <c r="F13" i="8"/>
  <c r="G11" i="1" s="1"/>
  <c r="F13" i="13"/>
  <c r="G16" i="1" s="1"/>
  <c r="F16" i="1"/>
  <c r="F9" i="1"/>
  <c r="F12" i="13"/>
  <c r="D16" i="1" s="1"/>
  <c r="J7" i="4"/>
  <c r="D9" i="1"/>
</calcChain>
</file>

<file path=xl/sharedStrings.xml><?xml version="1.0" encoding="utf-8"?>
<sst xmlns="http://schemas.openxmlformats.org/spreadsheetml/2006/main" count="1184" uniqueCount="321">
  <si>
    <t>SUMMARY BY MACHINE / PROCESS</t>
  </si>
  <si>
    <t>Machine</t>
  </si>
  <si>
    <t>Cap Unit Qty</t>
  </si>
  <si>
    <t>Unit Cap.</t>
  </si>
  <si>
    <t>Cost / Unit</t>
  </si>
  <si>
    <t>Cost Unit Name</t>
  </si>
  <si>
    <t>Capacity (kg/month)</t>
  </si>
  <si>
    <t>Cost (THB/kg)</t>
  </si>
  <si>
    <t>Process</t>
  </si>
  <si>
    <t>CNC Plate 01 - Plasma</t>
  </si>
  <si>
    <t>m/month</t>
  </si>
  <si>
    <t>THB/m</t>
  </si>
  <si>
    <t>Plasma</t>
  </si>
  <si>
    <t>CNC Plate 01 - Gas</t>
  </si>
  <si>
    <t>Gas</t>
  </si>
  <si>
    <t>CNC Plate 02 - Plasma</t>
  </si>
  <si>
    <t>CNC Plate 02 - Gas</t>
  </si>
  <si>
    <t>CNC Pipe Plasma 01</t>
  </si>
  <si>
    <t>Pipe</t>
  </si>
  <si>
    <t>CNC Pipe Plasma 02</t>
  </si>
  <si>
    <t>CNC Pipe Plasma 03</t>
  </si>
  <si>
    <t>SAW Machine</t>
  </si>
  <si>
    <t>weld m/month</t>
  </si>
  <si>
    <t>THB/weld m</t>
  </si>
  <si>
    <t>SAW</t>
  </si>
  <si>
    <t>CNC Plate Drill</t>
  </si>
  <si>
    <t>hole/month</t>
  </si>
  <si>
    <t>THB/hole</t>
  </si>
  <si>
    <t>Drilling</t>
  </si>
  <si>
    <t>Press Brake</t>
  </si>
  <si>
    <t>pc/month</t>
  </si>
  <si>
    <t>THB/pc</t>
  </si>
  <si>
    <t>Bending</t>
  </si>
  <si>
    <t>Hydraulic Press</t>
  </si>
  <si>
    <t>Punching</t>
  </si>
  <si>
    <t>Straightening Machine</t>
  </si>
  <si>
    <t>Straightening</t>
  </si>
  <si>
    <t>Rod Threading Machine</t>
  </si>
  <si>
    <t>rod/month</t>
  </si>
  <si>
    <t>THB/rod</t>
  </si>
  <si>
    <t>Threading</t>
  </si>
  <si>
    <t>FACTORY MAIN INPUTS</t>
  </si>
  <si>
    <t>Working days / month</t>
  </si>
  <si>
    <t>day</t>
  </si>
  <si>
    <t>Mon-Sat days / month</t>
  </si>
  <si>
    <t>Sunday / holiday days</t>
  </si>
  <si>
    <t>Mon-Sat hours / day</t>
  </si>
  <si>
    <t>hr/day</t>
  </si>
  <si>
    <t>Sunday hours / day</t>
  </si>
  <si>
    <t>Real working hrs / month</t>
  </si>
  <si>
    <t>hr/month</t>
  </si>
  <si>
    <t>Electricity rate</t>
  </si>
  <si>
    <t>THB/kWh</t>
  </si>
  <si>
    <t>Compressed air rate</t>
  </si>
  <si>
    <t>THB/Nm3</t>
  </si>
  <si>
    <t>Oxygen rate</t>
  </si>
  <si>
    <t>THB/m3</t>
  </si>
  <si>
    <t>Fuel gas rate</t>
  </si>
  <si>
    <t>Water rate</t>
  </si>
  <si>
    <t>Labor Structure</t>
  </si>
  <si>
    <t>Maintenance rate</t>
  </si>
  <si>
    <t>%/month</t>
  </si>
  <si>
    <t>Operator monthly</t>
  </si>
  <si>
    <t>Depreciation life</t>
  </si>
  <si>
    <t>months</t>
  </si>
  <si>
    <t>Skilled monthly</t>
  </si>
  <si>
    <t>Operator daily rate</t>
  </si>
  <si>
    <t>THB/day</t>
  </si>
  <si>
    <t>Group Head monthly</t>
  </si>
  <si>
    <t>Skilled daily rate</t>
  </si>
  <si>
    <t>Group Head daily rate</t>
  </si>
  <si>
    <t>Operator monthly rate</t>
  </si>
  <si>
    <t>THB/month</t>
  </si>
  <si>
    <t>Skilled monthly rate</t>
  </si>
  <si>
    <t>Group Head monthly rate</t>
  </si>
  <si>
    <t>Rebalance mode</t>
  </si>
  <si>
    <t>Capacity = Raw × OEE × Utilization</t>
  </si>
  <si>
    <t>Rule</t>
  </si>
  <si>
    <t>Avoid double loss (efficiency + OEE stacked)</t>
  </si>
  <si>
    <t>CNC Plate 01</t>
  </si>
  <si>
    <t>Plasma Calculation</t>
  </si>
  <si>
    <t>Machine Inputs</t>
  </si>
  <si>
    <t>Value</t>
  </si>
  <si>
    <t>Unit</t>
  </si>
  <si>
    <t>Routing / Final</t>
  </si>
  <si>
    <t>Rebalance Model</t>
  </si>
  <si>
    <t>Note</t>
  </si>
  <si>
    <t>Selected thickness used</t>
  </si>
  <si>
    <t>mm</t>
  </si>
  <si>
    <t>Selected thickness</t>
  </si>
  <si>
    <t>NA</t>
  </si>
  <si>
    <t>Thickness used</t>
  </si>
  <si>
    <t>OEE</t>
  </si>
  <si>
    <t>Plate cutting realistic OEE</t>
  </si>
  <si>
    <t>1 - lost time</t>
  </si>
  <si>
    <t>Active?</t>
  </si>
  <si>
    <t>flag</t>
  </si>
  <si>
    <t>Manpower</t>
  </si>
  <si>
    <t>persons</t>
  </si>
  <si>
    <t>Active process</t>
  </si>
  <si>
    <t>Utilization</t>
  </si>
  <si>
    <t>Loading / crane waiting</t>
  </si>
  <si>
    <t>speed loss</t>
  </si>
  <si>
    <t>Matched speed</t>
  </si>
  <si>
    <t>m/min</t>
  </si>
  <si>
    <t>Labor rate / person</t>
  </si>
  <si>
    <t>Final Capacity / month</t>
  </si>
  <si>
    <t>Effective factor</t>
  </si>
  <si>
    <t>Used in cap only</t>
  </si>
  <si>
    <t>good output ratio</t>
  </si>
  <si>
    <t>kWh / m</t>
  </si>
  <si>
    <t>kWh/m</t>
  </si>
  <si>
    <t>Efficiency Plasma</t>
  </si>
  <si>
    <t>ratio</t>
  </si>
  <si>
    <t>Final Cost / kg</t>
  </si>
  <si>
    <t>A*P*Q</t>
  </si>
  <si>
    <t>Air / m</t>
  </si>
  <si>
    <t>Nm3/m</t>
  </si>
  <si>
    <t>Efficiency Gas</t>
  </si>
  <si>
    <t>Consumable / m</t>
  </si>
  <si>
    <t>Power factor</t>
  </si>
  <si>
    <t>factor</t>
  </si>
  <si>
    <t>Working hrs / month</t>
  </si>
  <si>
    <t>hr</t>
  </si>
  <si>
    <t>Consumable factor</t>
  </si>
  <si>
    <t>Length / month</t>
  </si>
  <si>
    <t>m</t>
  </si>
  <si>
    <t>kg / m</t>
  </si>
  <si>
    <t>kg/m</t>
  </si>
  <si>
    <t>Cost / m</t>
  </si>
  <si>
    <t>Capacity / month</t>
  </si>
  <si>
    <t>kg</t>
  </si>
  <si>
    <t>Cost / kg</t>
  </si>
  <si>
    <t>THB/kg</t>
  </si>
  <si>
    <t>Labor / month</t>
  </si>
  <si>
    <t>THB</t>
  </si>
  <si>
    <t>Electricity / month</t>
  </si>
  <si>
    <t>Air / month</t>
  </si>
  <si>
    <t>Machine Specification</t>
  </si>
  <si>
    <t>Consumable / month</t>
  </si>
  <si>
    <t>Maintenance / month</t>
  </si>
  <si>
    <t>Model</t>
  </si>
  <si>
    <t>HNC-6000</t>
  </si>
  <si>
    <t>Depreciation / month</t>
  </si>
  <si>
    <t>Type</t>
  </si>
  <si>
    <t>Plasma + Gas</t>
  </si>
  <si>
    <t>Width</t>
  </si>
  <si>
    <t>5,200 mm</t>
  </si>
  <si>
    <t>Gas Calculation</t>
  </si>
  <si>
    <t>Length</t>
  </si>
  <si>
    <t>20,000 mm</t>
  </si>
  <si>
    <t>Plasma range</t>
  </si>
  <si>
    <t>1-30 mm</t>
  </si>
  <si>
    <t>Gas range</t>
  </si>
  <si>
    <t>6-150 mm</t>
  </si>
  <si>
    <t>Remark</t>
  </si>
  <si>
    <t>Machine 01</t>
  </si>
  <si>
    <t>Oxygen / m</t>
  </si>
  <si>
    <t>m3/m</t>
  </si>
  <si>
    <t>Fuel / m</t>
  </si>
  <si>
    <t>Oxygen / month</t>
  </si>
  <si>
    <t>Fuel / month</t>
  </si>
  <si>
    <t>CNC Plate 02</t>
  </si>
  <si>
    <t>Machine 02</t>
  </si>
  <si>
    <t>Pipe Calculation</t>
  </si>
  <si>
    <t>Helper</t>
  </si>
  <si>
    <t>Labor Mix Model</t>
  </si>
  <si>
    <t>Pipe size used</t>
  </si>
  <si>
    <t>inch</t>
  </si>
  <si>
    <t>Pipe size</t>
  </si>
  <si>
    <t>Start row</t>
  </si>
  <si>
    <t>Operator mix %</t>
  </si>
  <si>
    <t>Pipe cutting practical OEE</t>
  </si>
  <si>
    <t>Thickness</t>
  </si>
  <si>
    <t>End row</t>
  </si>
  <si>
    <t>Skilled mix %</t>
  </si>
  <si>
    <t>Shared handling / loading</t>
  </si>
  <si>
    <t>Mode</t>
  </si>
  <si>
    <t>Group Head mix %</t>
  </si>
  <si>
    <t>OD used</t>
  </si>
  <si>
    <t>Lower row</t>
  </si>
  <si>
    <t>Mix check</t>
  </si>
  <si>
    <t>Speed used</t>
  </si>
  <si>
    <t>Efficiency</t>
  </si>
  <si>
    <t>Upper row</t>
  </si>
  <si>
    <t>Weighted labor rate</t>
  </si>
  <si>
    <t>Real Capacity / month</t>
  </si>
  <si>
    <t>XG-300J</t>
  </si>
  <si>
    <t>Pipe range</t>
  </si>
  <si>
    <t>1.5" - 12"</t>
  </si>
  <si>
    <t>Pipe Plasma</t>
  </si>
  <si>
    <t>12,000 mm</t>
  </si>
  <si>
    <t>Clean interpolation model</t>
  </si>
  <si>
    <t>Calculation</t>
  </si>
  <si>
    <t>Weld speed used</t>
  </si>
  <si>
    <t>SAW balanced OEE</t>
  </si>
  <si>
    <t>Weld length factor used</t>
  </si>
  <si>
    <t>m/kg</t>
  </si>
  <si>
    <t>Line loading realistic</t>
  </si>
  <si>
    <t>Weld length / month</t>
  </si>
  <si>
    <t>Weld speed</t>
  </si>
  <si>
    <t>Weld length factor</t>
  </si>
  <si>
    <t>Wire + Flux / month</t>
  </si>
  <si>
    <t>Cost / m weld</t>
  </si>
  <si>
    <t>SAW Gantry</t>
  </si>
  <si>
    <t>LMH-4000</t>
  </si>
  <si>
    <t>Web height</t>
  </si>
  <si>
    <t>200-1500 mm</t>
  </si>
  <si>
    <t>Flange width</t>
  </si>
  <si>
    <t>200-800 mm</t>
  </si>
  <si>
    <t>Speed</t>
  </si>
  <si>
    <t>0.25-1.5 m/min</t>
  </si>
  <si>
    <t>Power</t>
  </si>
  <si>
    <t>3.8 kW gantry + 2x MZ-1250</t>
  </si>
  <si>
    <t>Hole dia used</t>
  </si>
  <si>
    <t>Drill realistic OEE</t>
  </si>
  <si>
    <t>Sec / hole</t>
  </si>
  <si>
    <t>sec</t>
  </si>
  <si>
    <t>Positioning / tool change</t>
  </si>
  <si>
    <t>Holes / month</t>
  </si>
  <si>
    <t>hole</t>
  </si>
  <si>
    <t>kg equivalent / hole</t>
  </si>
  <si>
    <t>kg/hole</t>
  </si>
  <si>
    <t>Hole dia</t>
  </si>
  <si>
    <t>Tooling + coolant / month</t>
  </si>
  <si>
    <t>Cost / hole</t>
  </si>
  <si>
    <t>CNC Gantry Drill</t>
  </si>
  <si>
    <t>PMZ2016</t>
  </si>
  <si>
    <t>Work size</t>
  </si>
  <si>
    <t>2000x1600 mm</t>
  </si>
  <si>
    <t>Ø50 mm</t>
  </si>
  <si>
    <t>Stroke</t>
  </si>
  <si>
    <t>180 mm</t>
  </si>
  <si>
    <t>Spindle</t>
  </si>
  <si>
    <t>0-560 rpm</t>
  </si>
  <si>
    <t>Cycle time used</t>
  </si>
  <si>
    <t>sec/pc</t>
  </si>
  <si>
    <t>Bending OEE</t>
  </si>
  <si>
    <t>Setup/loading</t>
  </si>
  <si>
    <t>Pieces / month</t>
  </si>
  <si>
    <t>pc</t>
  </si>
  <si>
    <t>kg / pc used</t>
  </si>
  <si>
    <t>kg/pc</t>
  </si>
  <si>
    <t>Cycle time</t>
  </si>
  <si>
    <t>kg / pc</t>
  </si>
  <si>
    <t>Tooling + setup / month</t>
  </si>
  <si>
    <t>Cost / pc</t>
  </si>
  <si>
    <t>NC 20032</t>
  </si>
  <si>
    <t>Bending force</t>
  </si>
  <si>
    <t>~200 ton</t>
  </si>
  <si>
    <t>~3200 mm</t>
  </si>
  <si>
    <t>NC hydraulic</t>
  </si>
  <si>
    <t>Use</t>
  </si>
  <si>
    <t>Plate bending</t>
  </si>
  <si>
    <t>Press OEE</t>
  </si>
  <si>
    <t>Loading realism</t>
  </si>
  <si>
    <t>Oil + tooling / month</t>
  </si>
  <si>
    <t>AMADA TP-110C</t>
  </si>
  <si>
    <t>Capacity</t>
  </si>
  <si>
    <t>110 ton</t>
  </si>
  <si>
    <t>Motor</t>
  </si>
  <si>
    <t>7.5 kW</t>
  </si>
  <si>
    <t>35-65 spm</t>
  </si>
  <si>
    <t>Air</t>
  </si>
  <si>
    <t>5.0 kgf/cm2</t>
  </si>
  <si>
    <t>Straightening speed used</t>
  </si>
  <si>
    <t>Straightening realistic OEE</t>
  </si>
  <si>
    <t>Length factor used</t>
  </si>
  <si>
    <t>Non-continuous loading</t>
  </si>
  <si>
    <t>Straightening speed</t>
  </si>
  <si>
    <t>Length factor</t>
  </si>
  <si>
    <t>Other / month</t>
  </si>
  <si>
    <t>Flange Straightener</t>
  </si>
  <si>
    <t>JZJ-800</t>
  </si>
  <si>
    <t>Flange t</t>
  </si>
  <si>
    <t>6-40 mm</t>
  </si>
  <si>
    <t>18 m/min</t>
  </si>
  <si>
    <t>22 kW</t>
  </si>
  <si>
    <t>Thread length used</t>
  </si>
  <si>
    <t>OD</t>
  </si>
  <si>
    <t>Thread length</t>
  </si>
  <si>
    <t>Tooling + die / month</t>
  </si>
  <si>
    <t>ASADA Bolt Machine 25Pro</t>
  </si>
  <si>
    <t>Universal Motor BE-80</t>
  </si>
  <si>
    <t>1140 W</t>
  </si>
  <si>
    <t>Voltage</t>
  </si>
  <si>
    <t>220-240 V, 1 Phase</t>
  </si>
  <si>
    <t>Current</t>
  </si>
  <si>
    <t>9 A</t>
  </si>
  <si>
    <t>Frequency</t>
  </si>
  <si>
    <t>50-60 Hz</t>
  </si>
  <si>
    <t>OD range</t>
  </si>
  <si>
    <t>8-25 mm</t>
  </si>
  <si>
    <t>100-200 mm</t>
  </si>
  <si>
    <t>Machine No.</t>
  </si>
  <si>
    <t>MC-T-01</t>
  </si>
  <si>
    <t>Asset No.</t>
  </si>
  <si>
    <t>7220100018</t>
  </si>
  <si>
    <t>PIPE LOOKUP TABLE</t>
  </si>
  <si>
    <t>Pipe Size (inch)</t>
  </si>
  <si>
    <t>OD (mm)</t>
  </si>
  <si>
    <t>Thickness (mm)</t>
  </si>
  <si>
    <t>Speed (m/min)</t>
  </si>
  <si>
    <t>O2</t>
  </si>
  <si>
    <t>Fuel</t>
  </si>
  <si>
    <t>Consumable</t>
  </si>
  <si>
    <t>NA thickness -&gt; average within same size</t>
  </si>
  <si>
    <t>Non-exact thickness -&gt; interpolate</t>
  </si>
  <si>
    <t>Out of range -&gt; closest</t>
  </si>
  <si>
    <t>PLATE PLASMA LOOKUP</t>
  </si>
  <si>
    <t>PLATE GAS LOOKUP</t>
  </si>
  <si>
    <t>DRILL LOOKUP</t>
  </si>
  <si>
    <t>Thickness mm</t>
  </si>
  <si>
    <t>Speed m/min</t>
  </si>
  <si>
    <t>Air Nm3/m</t>
  </si>
  <si>
    <t>Consumable THB/m</t>
  </si>
  <si>
    <t>kg/m factor</t>
  </si>
  <si>
    <t>Range Avg</t>
  </si>
  <si>
    <t>O2 m3/m</t>
  </si>
  <si>
    <t>Fuel m3/m</t>
  </si>
  <si>
    <t>Hole Dia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</si>
</sst>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color rgb="FF0000FF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8FBF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n">
        <color rgb="FFD9E2F3"/>
      </left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5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2" fillId="0" borderId="4" xfId="0" applyFont="1" applyBorder="1"/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5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9" fontId="4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vertical="center"/>
    </xf>
    <xf numFmtId="164" fontId="2" fillId="3" borderId="1" xfId="1" applyFont="1" applyFill="1" applyBorder="1" applyAlignment="1">
      <alignment horizontal="left" vertical="center"/>
    </xf>
    <xf numFmtId="0" fontId="1" fillId="6" borderId="5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164" fontId="0" fillId="0" borderId="0" xfId="1" applyFont="1"/>
    <xf numFmtId="164" fontId="0" fillId="7" borderId="0" xfId="1" applyFont="1" applyFill="1"/>
    <xf numFmtId="164" fontId="2" fillId="4" borderId="1" xfId="1" applyFont="1" applyFill="1" applyBorder="1" applyAlignment="1">
      <alignment horizontal="left" vertical="center"/>
    </xf>
    <xf numFmtId="164" fontId="2" fillId="4" borderId="1" xfId="1" applyFont="1" applyFill="1" applyBorder="1" applyAlignment="1">
      <alignment horizontal="right" vertical="center"/>
    </xf>
    <xf numFmtId="164" fontId="0" fillId="0" borderId="0" xfId="1" applyFont="1" applyAlignment="1">
      <alignment horizontal="right"/>
    </xf>
    <xf numFmtId="164" fontId="2" fillId="3" borderId="1" xfId="1" applyFont="1" applyFill="1" applyBorder="1" applyAlignment="1">
      <alignment horizontal="right" vertical="center"/>
    </xf>
    <xf numFmtId="164" fontId="2" fillId="0" borderId="4" xfId="1" applyFont="1" applyBorder="1"/>
    <xf numFmtId="164" fontId="4" fillId="4" borderId="1" xfId="1" applyFont="1" applyFill="1" applyBorder="1" applyAlignment="1">
      <alignment horizontal="right" vertical="center"/>
    </xf>
    <xf numFmtId="164" fontId="2" fillId="0" borderId="4" xfId="1" applyFont="1" applyBorder="1" applyAlignment="1">
      <alignment horizontal="right"/>
    </xf>
    <xf numFmtId="0" fontId="0" fillId="0" borderId="0" xfId="0" applyAlignment="1">
      <alignment horizontal="center"/>
    </xf>
    <xf numFmtId="164" fontId="2" fillId="3" borderId="1" xfId="1" applyFont="1" applyFill="1" applyBorder="1" applyAlignment="1">
      <alignment horizontal="center"/>
    </xf>
    <xf numFmtId="0" fontId="0" fillId="0" borderId="0" xfId="0" applyAlignment="1">
      <alignment horizontal="left" indent="1"/>
    </xf>
    <xf numFmtId="164" fontId="2" fillId="8" borderId="1" xfId="1" applyFont="1" applyFill="1" applyBorder="1"/>
    <xf numFmtId="164" fontId="2" fillId="9" borderId="1" xfId="1" applyFont="1" applyFill="1" applyBorder="1"/>
    <xf numFmtId="164" fontId="0" fillId="9" borderId="0" xfId="1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2" borderId="4" xfId="0" applyFont="1" applyFill="1" applyBorder="1" applyAlignment="1"/>
    <xf numFmtId="0" fontId="0" fillId="0" borderId="0" xfId="0" applyAlignment="1"/>
    <xf numFmtId="0" fontId="1" fillId="2" borderId="0" xfId="0" applyFont="1" applyFill="1" applyAlignment="1"/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40"/>
  <sheetViews>
    <sheetView tabSelected="1" workbookViewId="0">
      <selection activeCell="J20" sqref="J20"/>
    </sheetView>
  </sheetViews>
  <sheetFormatPr defaultRowHeight="14.45"/>
  <cols>
    <col min="1" max="1" width="20.28515625" bestFit="1" customWidth="1"/>
    <col min="2" max="2" width="16.42578125" customWidth="1"/>
    <col min="3" max="3" width="14.42578125" bestFit="1" customWidth="1"/>
    <col min="4" max="4" width="10" bestFit="1" customWidth="1"/>
    <col min="5" max="5" width="14.28515625" bestFit="1" customWidth="1"/>
    <col min="6" max="6" width="18.7109375" bestFit="1" customWidth="1"/>
    <col min="7" max="7" width="12.7109375" bestFit="1" customWidth="1"/>
    <col min="8" max="8" width="14.7109375" customWidth="1"/>
  </cols>
  <sheetData>
    <row r="1" spans="1:8">
      <c r="A1" s="51" t="s">
        <v>0</v>
      </c>
      <c r="B1" s="52"/>
      <c r="C1" s="52"/>
      <c r="D1" s="52"/>
      <c r="E1" s="52"/>
      <c r="F1" s="52"/>
      <c r="G1" s="52"/>
      <c r="H1" s="52"/>
    </row>
    <row r="2" spans="1:8">
      <c r="A2" s="14"/>
      <c r="B2" s="14"/>
      <c r="C2" s="14"/>
      <c r="D2" s="14"/>
      <c r="E2" s="12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14" t="s">
        <v>9</v>
      </c>
      <c r="B4" s="48">
        <f>'CNC Plate 01'!B11</f>
        <v>36100.350000000006</v>
      </c>
      <c r="C4" s="45" t="s">
        <v>10</v>
      </c>
      <c r="D4" s="49">
        <f>'CNC Plate 01'!F12</f>
        <v>14.814393938614863</v>
      </c>
      <c r="E4" s="44" t="s">
        <v>11</v>
      </c>
      <c r="F4" s="47">
        <f>'CNC Plate 01'!B13</f>
        <v>691324.41002625006</v>
      </c>
      <c r="G4" s="47">
        <f>'CNC Plate 01'!F13</f>
        <v>0.77359456496200996</v>
      </c>
      <c r="H4" s="46" t="s">
        <v>12</v>
      </c>
    </row>
    <row r="5" spans="1:8">
      <c r="A5" s="14" t="s">
        <v>13</v>
      </c>
      <c r="B5" s="48">
        <f>'CNC Plate 01'!B29</f>
        <v>8446.68</v>
      </c>
      <c r="C5" s="45" t="s">
        <v>10</v>
      </c>
      <c r="D5" s="49">
        <f>'CNC Plate 01'!F25</f>
        <v>37.971548395345863</v>
      </c>
      <c r="E5" s="44" t="s">
        <v>11</v>
      </c>
      <c r="F5" s="47">
        <f>'CNC Plate 01'!B31</f>
        <v>394681.11542243994</v>
      </c>
      <c r="G5" s="47">
        <f>'CNC Plate 01'!F26</f>
        <v>0.81263963708197329</v>
      </c>
      <c r="H5" s="46" t="s">
        <v>14</v>
      </c>
    </row>
    <row r="6" spans="1:8">
      <c r="A6" s="14" t="s">
        <v>15</v>
      </c>
      <c r="B6" s="48">
        <f>'CNC Plate 02'!B11</f>
        <v>36100.350000000006</v>
      </c>
      <c r="C6" s="45" t="s">
        <v>10</v>
      </c>
      <c r="D6" s="49">
        <f>'CNC Plate 02'!F12</f>
        <v>14.814393938614863</v>
      </c>
      <c r="E6" s="44" t="s">
        <v>11</v>
      </c>
      <c r="F6" s="47">
        <f>'CNC Plate 02'!B13</f>
        <v>691324.41002625006</v>
      </c>
      <c r="G6" s="47">
        <f>'CNC Plate 02'!F13</f>
        <v>0.77359456496200996</v>
      </c>
      <c r="H6" s="46" t="s">
        <v>12</v>
      </c>
    </row>
    <row r="7" spans="1:8">
      <c r="A7" s="14" t="s">
        <v>16</v>
      </c>
      <c r="B7" s="48">
        <f>'CNC Plate 02'!B29</f>
        <v>8446.68</v>
      </c>
      <c r="C7" s="45" t="s">
        <v>10</v>
      </c>
      <c r="D7" s="49">
        <f>'CNC Plate 02'!F25</f>
        <v>37.971548395345863</v>
      </c>
      <c r="E7" s="44" t="s">
        <v>11</v>
      </c>
      <c r="F7" s="47">
        <f>'CNC Plate 02'!B31</f>
        <v>394681.11542243994</v>
      </c>
      <c r="G7" s="47">
        <f>'CNC Plate 02'!F26</f>
        <v>0.81263963708197329</v>
      </c>
      <c r="H7" s="46" t="s">
        <v>14</v>
      </c>
    </row>
    <row r="8" spans="1:8">
      <c r="A8" s="14" t="s">
        <v>17</v>
      </c>
      <c r="B8" s="48">
        <f ca="1">'CNC Pipe Plasma 01'!B12</f>
        <v>1425.6000000000001</v>
      </c>
      <c r="C8" s="45" t="s">
        <v>10</v>
      </c>
      <c r="D8" s="49">
        <f ca="1">'CNC Pipe Plasma 01'!F15</f>
        <v>48.571041900486343</v>
      </c>
      <c r="E8" s="44" t="s">
        <v>11</v>
      </c>
      <c r="F8" s="47">
        <f ca="1">'CNC Pipe Plasma 01'!B13</f>
        <v>45083.151590400012</v>
      </c>
      <c r="G8" s="47">
        <f ca="1">'CNC Pipe Plasma 01'!F16</f>
        <v>1.535892564974936</v>
      </c>
      <c r="H8" s="46" t="s">
        <v>18</v>
      </c>
    </row>
    <row r="9" spans="1:8">
      <c r="A9" s="14" t="s">
        <v>19</v>
      </c>
      <c r="B9" s="48">
        <f ca="1">'CNC Pipe Plasma 02'!B12</f>
        <v>1425.6000000000001</v>
      </c>
      <c r="C9" s="45" t="s">
        <v>10</v>
      </c>
      <c r="D9" s="49">
        <f ca="1">'CNC Pipe Plasma 02'!F15</f>
        <v>48.571041900486343</v>
      </c>
      <c r="E9" s="44" t="s">
        <v>11</v>
      </c>
      <c r="F9" s="47">
        <f ca="1">'CNC Pipe Plasma 02'!B13</f>
        <v>45083.151590400012</v>
      </c>
      <c r="G9" s="47">
        <f ca="1">'CNC Pipe Plasma 02'!F16</f>
        <v>1.535892564974936</v>
      </c>
      <c r="H9" s="46" t="s">
        <v>18</v>
      </c>
    </row>
    <row r="10" spans="1:8">
      <c r="A10" s="14" t="s">
        <v>20</v>
      </c>
      <c r="B10" s="48">
        <f ca="1">'CNC Pipe Plasma 03'!B12</f>
        <v>1425.6000000000001</v>
      </c>
      <c r="C10" s="45" t="s">
        <v>10</v>
      </c>
      <c r="D10" s="49">
        <f ca="1">'CNC Pipe Plasma 03'!F15</f>
        <v>48.571041900486343</v>
      </c>
      <c r="E10" s="44" t="s">
        <v>11</v>
      </c>
      <c r="F10" s="47">
        <f ca="1">'CNC Pipe Plasma 03'!B13</f>
        <v>45083.151590400012</v>
      </c>
      <c r="G10" s="47">
        <f ca="1">'CNC Pipe Plasma 03'!F16</f>
        <v>1.535892564974936</v>
      </c>
      <c r="H10" s="46" t="s">
        <v>18</v>
      </c>
    </row>
    <row r="11" spans="1:8">
      <c r="A11" s="14" t="s">
        <v>21</v>
      </c>
      <c r="B11" s="48">
        <f>'SAW Machine'!B7</f>
        <v>13899.600000000002</v>
      </c>
      <c r="C11" s="45" t="s">
        <v>22</v>
      </c>
      <c r="D11" s="49">
        <f>'SAW Machine'!F12</f>
        <v>59.378279470872059</v>
      </c>
      <c r="E11" s="44" t="s">
        <v>23</v>
      </c>
      <c r="F11" s="47">
        <f>'SAW Machine'!B8</f>
        <v>144926.49600000004</v>
      </c>
      <c r="G11" s="47">
        <f>'SAW Machine'!F13</f>
        <v>5.6948477753393911</v>
      </c>
      <c r="H11" s="46" t="s">
        <v>24</v>
      </c>
    </row>
    <row r="12" spans="1:8">
      <c r="A12" s="14" t="s">
        <v>25</v>
      </c>
      <c r="B12" s="48">
        <f>'CNC Plate Drill'!B7</f>
        <v>48770.526315789481</v>
      </c>
      <c r="C12" s="45" t="s">
        <v>26</v>
      </c>
      <c r="D12" s="49">
        <f>'CNC Plate Drill'!F12</f>
        <v>3.8642802670580445</v>
      </c>
      <c r="E12" s="44" t="s">
        <v>27</v>
      </c>
      <c r="F12" s="47">
        <f>'CNC Plate Drill'!B9</f>
        <v>17069.684210526317</v>
      </c>
      <c r="G12" s="47">
        <f>'CNC Plate Drill'!F13</f>
        <v>11.040800763022986</v>
      </c>
      <c r="H12" s="46" t="s">
        <v>28</v>
      </c>
    </row>
    <row r="13" spans="1:8">
      <c r="A13" s="14" t="s">
        <v>29</v>
      </c>
      <c r="B13" s="48">
        <f>'Press Brake'!B6</f>
        <v>22176</v>
      </c>
      <c r="C13" s="45" t="s">
        <v>30</v>
      </c>
      <c r="D13" s="49">
        <f>'Press Brake'!F12</f>
        <v>8.8321909571909565</v>
      </c>
      <c r="E13" s="44" t="s">
        <v>31</v>
      </c>
      <c r="F13" s="47">
        <f>'Press Brake'!B8</f>
        <v>399168</v>
      </c>
      <c r="G13" s="47">
        <f>'Press Brake'!F13</f>
        <v>0.49067727539949757</v>
      </c>
      <c r="H13" s="46" t="s">
        <v>32</v>
      </c>
    </row>
    <row r="14" spans="1:8">
      <c r="A14" s="14" t="s">
        <v>33</v>
      </c>
      <c r="B14" s="48">
        <f>'Hydraulic Press'!B6</f>
        <v>53460</v>
      </c>
      <c r="C14" s="45" t="s">
        <v>30</v>
      </c>
      <c r="D14" s="49">
        <f>'Hydraulic Press'!F12</f>
        <v>2.6225682753460533</v>
      </c>
      <c r="E14" s="44" t="s">
        <v>31</v>
      </c>
      <c r="F14" s="47">
        <f>'Hydraulic Press'!B8</f>
        <v>320760</v>
      </c>
      <c r="G14" s="47">
        <f>'Hydraulic Press'!F13</f>
        <v>0.43709471255767551</v>
      </c>
      <c r="H14" s="46" t="s">
        <v>34</v>
      </c>
    </row>
    <row r="15" spans="1:8">
      <c r="A15" s="14" t="s">
        <v>35</v>
      </c>
      <c r="B15" s="48">
        <f>'Straightening Machine'!B7</f>
        <v>49896</v>
      </c>
      <c r="C15" s="45" t="s">
        <v>10</v>
      </c>
      <c r="D15" s="49">
        <f>'Straightening Machine'!F12</f>
        <v>3.3476404254182031</v>
      </c>
      <c r="E15" s="44" t="s">
        <v>11</v>
      </c>
      <c r="F15" s="47">
        <f>'Straightening Machine'!B8</f>
        <v>182952.00000000003</v>
      </c>
      <c r="G15" s="47">
        <f>'Straightening Machine'!F13</f>
        <v>0.91299284329587349</v>
      </c>
      <c r="H15" s="46" t="s">
        <v>36</v>
      </c>
    </row>
    <row r="16" spans="1:8">
      <c r="A16" s="14" t="s">
        <v>37</v>
      </c>
      <c r="B16" s="48">
        <f>'Rod Threading Machine'!B8</f>
        <v>25571.300448430491</v>
      </c>
      <c r="C16" s="45" t="s">
        <v>38</v>
      </c>
      <c r="D16" s="49">
        <f>'Rod Threading Machine'!F12</f>
        <v>1.9843487912224094</v>
      </c>
      <c r="E16" s="44" t="s">
        <v>39</v>
      </c>
      <c r="F16" s="47">
        <f>'Rod Threading Machine'!B10</f>
        <v>6437.9121094170405</v>
      </c>
      <c r="G16" s="47">
        <f>'Rod Threading Machine'!F13</f>
        <v>7.8818067523172317</v>
      </c>
      <c r="H16" s="46" t="s">
        <v>40</v>
      </c>
    </row>
    <row r="17" spans="1:5">
      <c r="A17" s="14"/>
      <c r="B17" s="14"/>
      <c r="C17" s="14"/>
      <c r="D17" s="14"/>
      <c r="E17" s="12"/>
    </row>
    <row r="18" spans="1:5">
      <c r="A18" s="14"/>
      <c r="B18" s="14"/>
      <c r="C18" s="14"/>
      <c r="D18" s="14"/>
      <c r="E18" s="12"/>
    </row>
    <row r="19" spans="1:5">
      <c r="A19" s="14"/>
      <c r="B19" s="14"/>
      <c r="C19" s="14"/>
      <c r="D19" s="14"/>
      <c r="E19" s="12"/>
    </row>
    <row r="20" spans="1:5">
      <c r="A20" s="14"/>
      <c r="B20" s="14"/>
      <c r="C20" s="14"/>
      <c r="D20" s="14"/>
      <c r="E20" s="12"/>
    </row>
    <row r="21" spans="1:5">
      <c r="A21" s="14"/>
      <c r="B21" s="14"/>
      <c r="C21" s="14"/>
      <c r="D21" s="14"/>
      <c r="E21" s="12"/>
    </row>
    <row r="22" spans="1:5">
      <c r="A22" s="14"/>
      <c r="B22" s="14"/>
      <c r="C22" s="14"/>
      <c r="D22" s="14"/>
      <c r="E22" s="12"/>
    </row>
    <row r="23" spans="1:5">
      <c r="A23" s="14"/>
      <c r="B23" s="14"/>
      <c r="C23" s="14"/>
      <c r="D23" s="14"/>
      <c r="E23" s="12"/>
    </row>
    <row r="24" spans="1:5">
      <c r="A24" s="14"/>
      <c r="B24" s="14"/>
      <c r="C24" s="14"/>
      <c r="D24" s="14"/>
      <c r="E24" s="12"/>
    </row>
    <row r="25" spans="1:5">
      <c r="A25" s="14"/>
      <c r="B25" s="14"/>
      <c r="C25" s="14"/>
      <c r="D25" s="14"/>
      <c r="E25" s="12"/>
    </row>
    <row r="26" spans="1:5">
      <c r="A26" s="14"/>
      <c r="B26" s="14"/>
      <c r="C26" s="14"/>
      <c r="D26" s="14"/>
      <c r="E26" s="12"/>
    </row>
    <row r="27" spans="1:5">
      <c r="A27" s="14"/>
      <c r="B27" s="14"/>
      <c r="C27" s="14"/>
      <c r="D27" s="14"/>
      <c r="E27" s="12"/>
    </row>
    <row r="28" spans="1:5">
      <c r="A28" s="14"/>
      <c r="B28" s="14"/>
      <c r="C28" s="14"/>
      <c r="D28" s="14"/>
      <c r="E28" s="12"/>
    </row>
    <row r="29" spans="1:5">
      <c r="A29" s="14"/>
      <c r="B29" s="14"/>
      <c r="C29" s="14"/>
      <c r="D29" s="14"/>
      <c r="E29" s="12"/>
    </row>
    <row r="30" spans="1:5">
      <c r="A30" s="14"/>
      <c r="B30" s="14"/>
      <c r="C30" s="14"/>
      <c r="D30" s="14"/>
      <c r="E30" s="12"/>
    </row>
    <row r="31" spans="1:5">
      <c r="A31" s="14"/>
      <c r="B31" s="14"/>
      <c r="C31" s="14"/>
      <c r="D31" s="14"/>
      <c r="E31" s="12"/>
    </row>
    <row r="32" spans="1:5">
      <c r="A32" s="14"/>
      <c r="B32" s="14"/>
      <c r="C32" s="14"/>
      <c r="D32" s="14"/>
      <c r="E32" s="12"/>
    </row>
    <row r="33" spans="1:5">
      <c r="A33" s="14"/>
      <c r="B33" s="14"/>
      <c r="C33" s="14"/>
      <c r="D33" s="14"/>
      <c r="E33" s="12"/>
    </row>
    <row r="34" spans="1:5">
      <c r="A34" s="14"/>
      <c r="B34" s="14"/>
      <c r="C34" s="14"/>
      <c r="D34" s="14"/>
      <c r="E34" s="12"/>
    </row>
    <row r="35" spans="1:5">
      <c r="A35" s="14"/>
      <c r="B35" s="14"/>
      <c r="C35" s="14"/>
      <c r="D35" s="14"/>
      <c r="E35" s="12"/>
    </row>
    <row r="36" spans="1:5">
      <c r="A36" s="14"/>
      <c r="B36" s="14"/>
      <c r="C36" s="14"/>
      <c r="D36" s="14"/>
      <c r="E36" s="12"/>
    </row>
    <row r="37" spans="1:5">
      <c r="A37" s="14"/>
      <c r="B37" s="14"/>
      <c r="C37" s="14"/>
      <c r="D37" s="14"/>
      <c r="E37" s="12"/>
    </row>
    <row r="38" spans="1:5">
      <c r="A38" s="14"/>
      <c r="B38" s="14"/>
      <c r="C38" s="14"/>
      <c r="D38" s="14"/>
      <c r="E38" s="12"/>
    </row>
    <row r="39" spans="1:5">
      <c r="A39" s="14"/>
      <c r="B39" s="14"/>
      <c r="C39" s="14"/>
      <c r="D39" s="14"/>
      <c r="E39" s="12"/>
    </row>
    <row r="40" spans="1:5">
      <c r="A40" s="12"/>
      <c r="B40" s="12"/>
      <c r="C40" s="12"/>
      <c r="D40" s="12"/>
      <c r="E40" s="1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25"/>
  <sheetViews>
    <sheetView workbookViewId="0">
      <selection activeCell="A11" sqref="A11"/>
    </sheetView>
  </sheetViews>
  <sheetFormatPr defaultRowHeight="14.45"/>
  <cols>
    <col min="1" max="1" width="30" customWidth="1"/>
    <col min="2" max="2" width="16" customWidth="1"/>
    <col min="3" max="3" width="14" customWidth="1"/>
    <col min="4" max="4" width="4" customWidth="1"/>
    <col min="5" max="5" width="22" customWidth="1"/>
    <col min="6" max="6" width="18" customWidth="1"/>
  </cols>
  <sheetData>
    <row r="1" spans="1:6">
      <c r="A1" s="50" t="s">
        <v>41</v>
      </c>
      <c r="B1" s="54"/>
      <c r="C1" s="54"/>
      <c r="D1" s="54"/>
      <c r="E1" s="54"/>
      <c r="F1" s="55"/>
    </row>
    <row r="3" spans="1:6">
      <c r="A3" s="15" t="s">
        <v>42</v>
      </c>
      <c r="B3" s="16">
        <v>30</v>
      </c>
      <c r="C3" s="17" t="s">
        <v>43</v>
      </c>
    </row>
    <row r="4" spans="1:6">
      <c r="A4" s="15" t="s">
        <v>44</v>
      </c>
      <c r="B4" s="16">
        <v>26</v>
      </c>
      <c r="C4" s="17" t="s">
        <v>43</v>
      </c>
    </row>
    <row r="5" spans="1:6">
      <c r="A5" s="15" t="s">
        <v>45</v>
      </c>
      <c r="B5" s="16">
        <v>4</v>
      </c>
      <c r="C5" s="17" t="s">
        <v>43</v>
      </c>
    </row>
    <row r="6" spans="1:6">
      <c r="A6" s="15" t="s">
        <v>46</v>
      </c>
      <c r="B6" s="16">
        <v>14</v>
      </c>
      <c r="C6" s="17" t="s">
        <v>47</v>
      </c>
    </row>
    <row r="7" spans="1:6">
      <c r="A7" s="15" t="s">
        <v>48</v>
      </c>
      <c r="B7" s="16">
        <v>8</v>
      </c>
      <c r="C7" s="17" t="s">
        <v>47</v>
      </c>
    </row>
    <row r="8" spans="1:6">
      <c r="A8" s="15" t="s">
        <v>49</v>
      </c>
      <c r="B8" s="17">
        <f>B4*B6+B5*B7</f>
        <v>396</v>
      </c>
      <c r="C8" s="17" t="s">
        <v>50</v>
      </c>
    </row>
    <row r="9" spans="1:6">
      <c r="A9" s="15" t="s">
        <v>51</v>
      </c>
      <c r="B9" s="16">
        <v>5</v>
      </c>
      <c r="C9" s="17" t="s">
        <v>52</v>
      </c>
    </row>
    <row r="10" spans="1:6">
      <c r="A10" s="15" t="s">
        <v>53</v>
      </c>
      <c r="B10" s="16">
        <v>0.5</v>
      </c>
      <c r="C10" s="17" t="s">
        <v>54</v>
      </c>
    </row>
    <row r="11" spans="1:6">
      <c r="A11" s="15" t="s">
        <v>55</v>
      </c>
      <c r="B11" s="16">
        <v>12</v>
      </c>
      <c r="C11" s="17" t="s">
        <v>56</v>
      </c>
    </row>
    <row r="12" spans="1:6">
      <c r="A12" s="15" t="s">
        <v>57</v>
      </c>
      <c r="B12" s="16">
        <v>28</v>
      </c>
      <c r="C12" s="17" t="s">
        <v>56</v>
      </c>
    </row>
    <row r="13" spans="1:6">
      <c r="A13" s="15" t="s">
        <v>58</v>
      </c>
      <c r="B13" s="16">
        <v>20</v>
      </c>
      <c r="C13" s="17" t="s">
        <v>56</v>
      </c>
      <c r="E13" s="6" t="s">
        <v>59</v>
      </c>
      <c r="F13" s="7"/>
    </row>
    <row r="14" spans="1:6">
      <c r="A14" s="18" t="s">
        <v>60</v>
      </c>
      <c r="B14" s="16">
        <v>0.03</v>
      </c>
      <c r="C14" s="19" t="s">
        <v>61</v>
      </c>
      <c r="E14" s="5" t="s">
        <v>62</v>
      </c>
      <c r="F14" s="5">
        <f>B16</f>
        <v>575</v>
      </c>
    </row>
    <row r="15" spans="1:6">
      <c r="A15" s="18" t="s">
        <v>63</v>
      </c>
      <c r="B15" s="16">
        <v>60</v>
      </c>
      <c r="C15" s="19" t="s">
        <v>64</v>
      </c>
      <c r="E15" s="5" t="s">
        <v>65</v>
      </c>
      <c r="F15" s="5">
        <f>B17</f>
        <v>650</v>
      </c>
    </row>
    <row r="16" spans="1:6">
      <c r="A16" s="18" t="s">
        <v>66</v>
      </c>
      <c r="B16" s="16">
        <v>575</v>
      </c>
      <c r="C16" s="19" t="s">
        <v>67</v>
      </c>
      <c r="E16" s="5" t="s">
        <v>68</v>
      </c>
      <c r="F16" s="5">
        <f>B18</f>
        <v>750</v>
      </c>
    </row>
    <row r="17" spans="1:6">
      <c r="A17" s="18" t="s">
        <v>69</v>
      </c>
      <c r="B17" s="16">
        <v>650</v>
      </c>
      <c r="C17" s="19" t="s">
        <v>67</v>
      </c>
    </row>
    <row r="18" spans="1:6">
      <c r="A18" s="18" t="s">
        <v>70</v>
      </c>
      <c r="B18" s="16">
        <v>750</v>
      </c>
      <c r="C18" s="19" t="s">
        <v>67</v>
      </c>
    </row>
    <row r="19" spans="1:6">
      <c r="A19" s="18" t="s">
        <v>71</v>
      </c>
      <c r="B19" s="19">
        <f>B16*B3</f>
        <v>17250</v>
      </c>
      <c r="C19" s="19" t="s">
        <v>72</v>
      </c>
    </row>
    <row r="20" spans="1:6">
      <c r="A20" s="18" t="s">
        <v>73</v>
      </c>
      <c r="B20" s="19">
        <f>B17*B3</f>
        <v>19500</v>
      </c>
      <c r="C20" s="19" t="s">
        <v>72</v>
      </c>
    </row>
    <row r="21" spans="1:6">
      <c r="A21" s="18" t="s">
        <v>74</v>
      </c>
      <c r="B21" s="19">
        <f>B18*B3</f>
        <v>22500</v>
      </c>
      <c r="C21" s="19" t="s">
        <v>72</v>
      </c>
    </row>
    <row r="24" spans="1:6">
      <c r="E24" s="24" t="s">
        <v>75</v>
      </c>
      <c r="F24" s="5" t="s">
        <v>76</v>
      </c>
    </row>
    <row r="25" spans="1:6">
      <c r="E25" s="24" t="s">
        <v>77</v>
      </c>
      <c r="F25" s="5" t="s">
        <v>78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O80"/>
  <sheetViews>
    <sheetView workbookViewId="0"/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4" customWidth="1"/>
    <col min="9" max="9" width="24" customWidth="1"/>
    <col min="10" max="10" width="16" customWidth="1"/>
    <col min="12" max="12" width="15.28515625" customWidth="1"/>
  </cols>
  <sheetData>
    <row r="1" spans="1:15" ht="18">
      <c r="A1" s="53" t="s">
        <v>79</v>
      </c>
      <c r="B1" s="54"/>
      <c r="C1" s="54"/>
      <c r="D1" s="54"/>
      <c r="E1" s="54"/>
      <c r="F1" s="54"/>
      <c r="G1" s="55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3" t="s">
        <v>80</v>
      </c>
      <c r="B3" s="3"/>
      <c r="C3" s="3"/>
      <c r="D3" s="12"/>
      <c r="E3" s="3" t="s">
        <v>81</v>
      </c>
      <c r="F3" s="3" t="s">
        <v>82</v>
      </c>
      <c r="G3" s="3" t="s">
        <v>83</v>
      </c>
      <c r="H3" s="12"/>
      <c r="I3" s="3" t="s">
        <v>84</v>
      </c>
      <c r="J3" s="3" t="s">
        <v>82</v>
      </c>
      <c r="L3" s="25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87</v>
      </c>
      <c r="B4" s="40">
        <f>IF(OR(F4="NA",F4="",NOT(ISNUMBER(F4))),AVERAGE(5,20),MAX(5,MIN(20,F4)))</f>
        <v>12.5</v>
      </c>
      <c r="C4" s="1" t="s">
        <v>88</v>
      </c>
      <c r="D4" s="12"/>
      <c r="E4" s="1" t="s">
        <v>89</v>
      </c>
      <c r="F4" s="42" t="s">
        <v>90</v>
      </c>
      <c r="G4" s="1" t="s">
        <v>88</v>
      </c>
      <c r="H4" s="12"/>
      <c r="I4" s="1" t="s">
        <v>91</v>
      </c>
      <c r="J4" s="40">
        <f>IF(OR(F4="NA",F4="",NOT(ISNUMBER(F4))),AVERAGE(5,20),F4)</f>
        <v>12.5</v>
      </c>
      <c r="L4" s="8" t="s">
        <v>92</v>
      </c>
      <c r="M4" s="13">
        <v>0.68</v>
      </c>
      <c r="N4" s="27" t="s">
        <v>93</v>
      </c>
      <c r="O4" s="5" t="s">
        <v>94</v>
      </c>
    </row>
    <row r="5" spans="1:15">
      <c r="A5" s="1" t="s">
        <v>95</v>
      </c>
      <c r="B5" s="40">
        <f>IF(OR(F4="NA",F4="",NOT(ISNUMBER(F4))),1,IF(F4&lt;=20,1,0))</f>
        <v>1</v>
      </c>
      <c r="C5" s="1" t="s">
        <v>96</v>
      </c>
      <c r="D5" s="12"/>
      <c r="E5" s="1" t="s">
        <v>97</v>
      </c>
      <c r="F5" s="42">
        <v>3</v>
      </c>
      <c r="G5" s="1" t="s">
        <v>98</v>
      </c>
      <c r="H5" s="12"/>
      <c r="I5" s="1" t="s">
        <v>99</v>
      </c>
      <c r="J5" s="40" t="str">
        <f>IF(OR(F4="NA",F4="",NOT(ISNUMBER(F4))),"BOTH",IF(F4&lt;=20,"PLASMA","GAS"))</f>
        <v>BOTH</v>
      </c>
      <c r="L5" s="8" t="s">
        <v>100</v>
      </c>
      <c r="M5" s="13">
        <v>0.82</v>
      </c>
      <c r="N5" s="27" t="s">
        <v>101</v>
      </c>
      <c r="O5" s="5" t="s">
        <v>102</v>
      </c>
    </row>
    <row r="6" spans="1:15">
      <c r="A6" s="1" t="s">
        <v>103</v>
      </c>
      <c r="B6" s="40">
        <f>IF(B4&lt;=INDEX(Lookups!$A$3:$A$9,1),INDEX(Lookups!$B$3:$B$9,1),IF(B4&gt;=INDEX(Lookups!$A$3:$A$9,ROWS(Lookups!$A$3:$A$9)),INDEX(Lookups!$B$3:$B$9,ROWS(Lookups!$B$3:$B$9)),INDEX(Lookups!$B$3:$B$9,MATCH(B4,Lookups!$A$3:$A$9,1))+(B4-INDEX(Lookups!$A$3:$A$9,MATCH(B4,Lookups!$A$3:$A$9,1)))*(INDEX(Lookups!$B$3:$B$9,MATCH(B4,Lookups!$A$3:$A$9,1)+1)-INDEX(Lookups!$B$3:$B$9,MATCH(B4,Lookups!$A$3:$A$9,1)))/(INDEX(Lookups!$A$3:$A$9,MATCH(B4,Lookups!$A$3:$A$9,1)+1)-INDEX(Lookups!$A$3:$A$9,MATCH(B4,Lookups!$A$3:$A$9,1)))))</f>
        <v>2.3374999999999999</v>
      </c>
      <c r="C6" s="1" t="s">
        <v>104</v>
      </c>
      <c r="D6" s="12"/>
      <c r="E6" s="1" t="s">
        <v>105</v>
      </c>
      <c r="F6" s="42">
        <f>Main!$B$13</f>
        <v>20</v>
      </c>
      <c r="G6" s="1" t="s">
        <v>72</v>
      </c>
      <c r="H6" s="12"/>
      <c r="I6" s="1" t="s">
        <v>106</v>
      </c>
      <c r="J6" s="40">
        <f>IF(J5="PLASMA",B13,IF(J5="GAS",B31,B13+B31))</f>
        <v>1086005.5254486899</v>
      </c>
      <c r="L6" s="8" t="s">
        <v>107</v>
      </c>
      <c r="M6" s="8">
        <f>M4*M5</f>
        <v>0.55759999999999998</v>
      </c>
      <c r="N6" s="27" t="s">
        <v>108</v>
      </c>
      <c r="O6" s="5" t="s">
        <v>109</v>
      </c>
    </row>
    <row r="7" spans="1:15">
      <c r="A7" s="1" t="s">
        <v>110</v>
      </c>
      <c r="B7" s="40">
        <f>IF(B4&lt;=INDEX(Lookups!$A$3:$A$9,1),INDEX(Lookups!$C$3:$C$9,1),IF(B4&gt;=INDEX(Lookups!$A$3:$A$9,ROWS(Lookups!$A$3:$A$9)),INDEX(Lookups!$C$3:$C$9,ROWS(Lookups!$C$3:$C$9)),INDEX(Lookups!$C$3:$C$9,MATCH(B4,Lookups!$A$3:$A$9,1))+(B4-INDEX(Lookups!$A$3:$A$9,MATCH(B4,Lookups!$A$3:$A$9,1)))*(INDEX(Lookups!$C$3:$C$9,MATCH(B4,Lookups!$A$3:$A$9,1)+1)-INDEX(Lookups!$C$3:$C$9,MATCH(B4,Lookups!$A$3:$A$9,1)))/(INDEX(Lookups!$A$3:$A$9,MATCH(B4,Lookups!$A$3:$A$9,1)+1)-INDEX(Lookups!$A$3:$A$9,MATCH(B4,Lookups!$A$3:$A$9,1)))))*F9</f>
        <v>0.11837500000000001</v>
      </c>
      <c r="C7" s="1" t="s">
        <v>111</v>
      </c>
      <c r="D7" s="12"/>
      <c r="E7" s="1" t="s">
        <v>112</v>
      </c>
      <c r="F7" s="42">
        <v>0.65</v>
      </c>
      <c r="G7" s="1" t="s">
        <v>113</v>
      </c>
      <c r="H7" s="12"/>
      <c r="I7" s="1" t="s">
        <v>114</v>
      </c>
      <c r="J7" s="40">
        <f>IF(J5="PLASMA",F13,IF(J5="GAS",F26,IF(B13+B31=0,0,(B13*F13+B31*F26)/(B13+B31))))</f>
        <v>0.78778450438215231</v>
      </c>
      <c r="L7" s="5" t="s">
        <v>92</v>
      </c>
      <c r="M7" s="5">
        <f>M4*M5*M6</f>
        <v>0.31091775999999999</v>
      </c>
      <c r="N7" s="5" t="s">
        <v>115</v>
      </c>
    </row>
    <row r="8" spans="1:15">
      <c r="A8" s="1" t="s">
        <v>116</v>
      </c>
      <c r="B8" s="40">
        <f>IF(B4&lt;=INDEX(Lookups!$A$3:$A$9,1),INDEX(Lookups!$D$3:$D$9,1),IF(B4&gt;=INDEX(Lookups!$A$3:$A$9,ROWS(Lookups!$A$3:$A$9)),INDEX(Lookups!$D$3:$D$9,ROWS(Lookups!$D$3:$D$9)),INDEX(Lookups!$D$3:$D$9,MATCH(B4,Lookups!$A$3:$A$9,1))+(B4-INDEX(Lookups!$A$3:$A$9,MATCH(B4,Lookups!$A$3:$A$9,1)))*(INDEX(Lookups!$D$3:$D$9,MATCH(B4,Lookups!$A$3:$A$9,1)+1)-INDEX(Lookups!$D$3:$D$9,MATCH(B4,Lookups!$A$3:$A$9,1)))/(INDEX(Lookups!$A$3:$A$9,MATCH(B4,Lookups!$A$3:$A$9,1)+1)-INDEX(Lookups!$A$3:$A$9,MATCH(B4,Lookups!$A$3:$A$9,1)))))</f>
        <v>3.0374999999999999E-2</v>
      </c>
      <c r="C8" s="1" t="s">
        <v>117</v>
      </c>
      <c r="D8" s="12"/>
      <c r="E8" s="1" t="s">
        <v>118</v>
      </c>
      <c r="F8" s="42">
        <v>0.6</v>
      </c>
      <c r="G8" s="1" t="s">
        <v>113</v>
      </c>
      <c r="H8" s="12"/>
      <c r="I8" s="12"/>
      <c r="J8" s="12"/>
    </row>
    <row r="9" spans="1:15">
      <c r="A9" s="1" t="s">
        <v>119</v>
      </c>
      <c r="B9" s="40">
        <f>IF(B4&lt;=INDEX(Lookups!$A$3:$A$9,1),INDEX(Lookups!$E$3:$E$9,1),IF(B4&gt;=INDEX(Lookups!$A$3:$A$9,ROWS(Lookups!$A$3:$A$9)),INDEX(Lookups!$E$3:$E$9,ROWS(Lookups!$E$3:$E$9)),INDEX(Lookups!$E$3:$E$9,MATCH(B4,Lookups!$A$3:$A$9,1))+(B4-INDEX(Lookups!$A$3:$A$9,MATCH(B4,Lookups!$A$3:$A$9,1)))*(INDEX(Lookups!$E$3:$E$9,MATCH(B4,Lookups!$A$3:$A$9,1)+1)-INDEX(Lookups!$E$3:$E$9,MATCH(B4,Lookups!$A$3:$A$9,1)))/(INDEX(Lookups!$A$3:$A$9,MATCH(B4,Lookups!$A$3:$A$9,1)+1)-INDEX(Lookups!$A$3:$A$9,MATCH(B4,Lookups!$A$3:$A$9,1)))))*F10</f>
        <v>13.25</v>
      </c>
      <c r="C9" s="1" t="s">
        <v>11</v>
      </c>
      <c r="D9" s="12"/>
      <c r="E9" s="1" t="s">
        <v>120</v>
      </c>
      <c r="F9" s="42">
        <v>1</v>
      </c>
      <c r="G9" s="1" t="s">
        <v>121</v>
      </c>
      <c r="H9" s="12"/>
      <c r="I9" s="12"/>
      <c r="J9" s="12"/>
    </row>
    <row r="10" spans="1:15">
      <c r="A10" s="1" t="s">
        <v>122</v>
      </c>
      <c r="B10" s="40">
        <f>Main!$B$8*F7</f>
        <v>257.40000000000003</v>
      </c>
      <c r="C10" s="1" t="s">
        <v>123</v>
      </c>
      <c r="D10" s="12"/>
      <c r="E10" s="1" t="s">
        <v>124</v>
      </c>
      <c r="F10" s="42">
        <v>1</v>
      </c>
      <c r="G10" s="1" t="s">
        <v>121</v>
      </c>
      <c r="H10" s="12"/>
      <c r="I10" s="12"/>
      <c r="J10" s="12"/>
    </row>
    <row r="11" spans="1:15">
      <c r="A11" s="1" t="s">
        <v>125</v>
      </c>
      <c r="B11" s="40">
        <f>B6*60*B10*B5</f>
        <v>36100.350000000006</v>
      </c>
      <c r="C11" s="1" t="s">
        <v>126</v>
      </c>
      <c r="D11" s="12"/>
      <c r="E11" s="12"/>
      <c r="F11" s="43"/>
      <c r="G11" s="12"/>
      <c r="H11" s="12"/>
      <c r="I11" s="12"/>
      <c r="J11" s="12"/>
    </row>
    <row r="12" spans="1:15">
      <c r="A12" s="1" t="s">
        <v>127</v>
      </c>
      <c r="B12" s="40">
        <f>7.85*B4*0.35</f>
        <v>34.34375</v>
      </c>
      <c r="C12" s="1" t="s">
        <v>128</v>
      </c>
      <c r="D12" s="12"/>
      <c r="E12" s="1" t="s">
        <v>129</v>
      </c>
      <c r="F12" s="40">
        <f>IF(B11=0,"",SUM(B14:B19)/B11)</f>
        <v>14.814393938614863</v>
      </c>
      <c r="G12" s="1" t="s">
        <v>11</v>
      </c>
      <c r="H12" s="12"/>
      <c r="I12" s="12"/>
      <c r="J12" s="12"/>
    </row>
    <row r="13" spans="1:15">
      <c r="A13" s="1" t="s">
        <v>130</v>
      </c>
      <c r="B13" s="40">
        <f>B11*B12*$M$6</f>
        <v>691324.41002625006</v>
      </c>
      <c r="C13" s="1" t="s">
        <v>131</v>
      </c>
      <c r="D13" s="12"/>
      <c r="E13" s="1" t="s">
        <v>132</v>
      </c>
      <c r="F13" s="40">
        <f>IF(B13=0,0,SUM(B14:B19)/B13)</f>
        <v>0.77359456496200996</v>
      </c>
      <c r="G13" s="1" t="s">
        <v>133</v>
      </c>
      <c r="H13" s="12"/>
      <c r="I13" s="12"/>
      <c r="J13" s="12"/>
    </row>
    <row r="14" spans="1:15">
      <c r="A14" s="1" t="s">
        <v>134</v>
      </c>
      <c r="B14" s="40">
        <f>IF(OR(F5="NA",F5="",NOT(ISNUMBER(F5))),3,F5)*F6</f>
        <v>60</v>
      </c>
      <c r="C14" s="1" t="s">
        <v>135</v>
      </c>
      <c r="D14" s="12"/>
      <c r="E14" s="12"/>
      <c r="F14" s="12"/>
      <c r="G14" s="12"/>
      <c r="H14" s="12"/>
      <c r="I14" s="12"/>
      <c r="J14" s="12"/>
    </row>
    <row r="15" spans="1:15">
      <c r="A15" s="1" t="s">
        <v>136</v>
      </c>
      <c r="B15" s="40">
        <f>B11*B7*Main!$B$9</f>
        <v>21366.894656250006</v>
      </c>
      <c r="C15" s="1" t="s">
        <v>135</v>
      </c>
      <c r="D15" s="12"/>
      <c r="E15" s="12"/>
      <c r="F15" s="12"/>
      <c r="G15" s="12"/>
      <c r="H15" s="12"/>
      <c r="I15" s="12"/>
      <c r="J15" s="12"/>
    </row>
    <row r="16" spans="1:15">
      <c r="A16" s="1" t="s">
        <v>137</v>
      </c>
      <c r="B16" s="40">
        <f>B11*B8*Main!$B$10</f>
        <v>548.27406562500005</v>
      </c>
      <c r="C16" s="1" t="s">
        <v>135</v>
      </c>
      <c r="D16" s="12"/>
      <c r="E16" s="12"/>
      <c r="F16" s="12"/>
      <c r="G16" s="12"/>
      <c r="H16" s="12"/>
      <c r="I16" s="4" t="s">
        <v>138</v>
      </c>
      <c r="J16" s="4"/>
    </row>
    <row r="17" spans="1:10">
      <c r="A17" s="1" t="s">
        <v>139</v>
      </c>
      <c r="B17" s="40">
        <f>B11*B9</f>
        <v>478329.63750000007</v>
      </c>
      <c r="C17" s="1" t="s">
        <v>135</v>
      </c>
      <c r="D17" s="12"/>
      <c r="E17" s="12"/>
      <c r="F17" s="12"/>
      <c r="G17" s="12"/>
      <c r="H17" s="12"/>
      <c r="I17" s="1" t="s">
        <v>1</v>
      </c>
      <c r="J17" s="1" t="s">
        <v>79</v>
      </c>
    </row>
    <row r="18" spans="1:10">
      <c r="A18" s="1" t="s">
        <v>140</v>
      </c>
      <c r="B18" s="40">
        <f>1800000*Main!$B$14/12</f>
        <v>4500</v>
      </c>
      <c r="C18" s="1" t="s">
        <v>135</v>
      </c>
      <c r="D18" s="12"/>
      <c r="E18" s="12"/>
      <c r="F18" s="12"/>
      <c r="G18" s="12"/>
      <c r="H18" s="12"/>
      <c r="I18" s="1" t="s">
        <v>141</v>
      </c>
      <c r="J18" s="1" t="s">
        <v>142</v>
      </c>
    </row>
    <row r="19" spans="1:10">
      <c r="A19" s="1" t="s">
        <v>143</v>
      </c>
      <c r="B19" s="40">
        <f>1800000/Main!$B$15</f>
        <v>30000</v>
      </c>
      <c r="C19" s="1" t="s">
        <v>135</v>
      </c>
      <c r="D19" s="12"/>
      <c r="E19" s="12"/>
      <c r="F19" s="12"/>
      <c r="G19" s="12"/>
      <c r="H19" s="12"/>
      <c r="I19" s="1" t="s">
        <v>144</v>
      </c>
      <c r="J19" s="1" t="s">
        <v>145</v>
      </c>
    </row>
    <row r="20" spans="1:10">
      <c r="A20" s="12"/>
      <c r="B20" s="12"/>
      <c r="C20" s="12"/>
      <c r="D20" s="12"/>
      <c r="E20" s="12"/>
      <c r="F20" s="12"/>
      <c r="G20" s="12"/>
      <c r="H20" s="12"/>
      <c r="I20" s="1" t="s">
        <v>146</v>
      </c>
      <c r="J20" s="1" t="s">
        <v>147</v>
      </c>
    </row>
    <row r="21" spans="1:10">
      <c r="A21" s="3" t="s">
        <v>148</v>
      </c>
      <c r="B21" s="3"/>
      <c r="C21" s="3"/>
      <c r="D21" s="12"/>
      <c r="E21" s="12"/>
      <c r="F21" s="12"/>
      <c r="G21" s="12"/>
      <c r="H21" s="12"/>
      <c r="I21" s="1" t="s">
        <v>149</v>
      </c>
      <c r="J21" s="1" t="s">
        <v>150</v>
      </c>
    </row>
    <row r="22" spans="1:10">
      <c r="A22" s="1" t="s">
        <v>87</v>
      </c>
      <c r="B22" s="40">
        <f>IF(OR(F4="NA",F4="",NOT(ISNUMBER(F4))),AVERAGE(21,40),MAX(21,MIN(40,F4)))</f>
        <v>30.5</v>
      </c>
      <c r="C22" s="1" t="s">
        <v>88</v>
      </c>
      <c r="D22" s="12"/>
      <c r="E22" s="12"/>
      <c r="F22" s="12"/>
      <c r="G22" s="12"/>
      <c r="H22" s="12"/>
      <c r="I22" s="1" t="s">
        <v>151</v>
      </c>
      <c r="J22" s="1" t="s">
        <v>152</v>
      </c>
    </row>
    <row r="23" spans="1:10">
      <c r="A23" s="1" t="s">
        <v>95</v>
      </c>
      <c r="B23" s="40">
        <f>IF(OR(F4="NA",F4="",NOT(ISNUMBER(F4))),1,IF(F4&gt;20,1,0))</f>
        <v>1</v>
      </c>
      <c r="C23" s="1" t="s">
        <v>96</v>
      </c>
      <c r="D23" s="12"/>
      <c r="E23" s="12"/>
      <c r="F23" s="12"/>
      <c r="G23" s="12"/>
      <c r="H23" s="12"/>
      <c r="I23" s="1" t="s">
        <v>153</v>
      </c>
      <c r="J23" s="1" t="s">
        <v>154</v>
      </c>
    </row>
    <row r="24" spans="1:10">
      <c r="A24" s="1" t="s">
        <v>103</v>
      </c>
      <c r="B24" s="40">
        <f>IF(B22&lt;=INDEX(Lookups!$I$3:$I$6,1),INDEX(Lookups!$J$3:$J$6,1),IF(B22&gt;=INDEX(Lookups!$I$3:$I$6,ROWS(Lookups!$I$3:$I$6)),INDEX(Lookups!$J$3:$J$6,ROWS(Lookups!$J$3:$J$6)),INDEX(Lookups!$J$3:$J$6,MATCH(B22,Lookups!$I$3:$I$6,1))+(B22-INDEX(Lookups!$I$3:$I$6,MATCH(B22,Lookups!$I$3:$I$6,1)))*(INDEX(Lookups!$J$3:$J$6,MATCH(B22,Lookups!$I$3:$I$6,1)+1)-INDEX(Lookups!$J$3:$J$6,MATCH(B22,Lookups!$I$3:$I$6,1)))/(INDEX(Lookups!$I$3:$I$6,MATCH(B22,Lookups!$I$3:$I$6,1)+1)-INDEX(Lookups!$I$3:$I$6,MATCH(B22,Lookups!$I$3:$I$6,1)))))</f>
        <v>0.59250000000000003</v>
      </c>
      <c r="C24" s="1" t="s">
        <v>104</v>
      </c>
      <c r="D24" s="12"/>
      <c r="E24" s="12"/>
      <c r="F24" s="12"/>
      <c r="G24" s="12"/>
      <c r="H24" s="12"/>
      <c r="I24" s="1" t="s">
        <v>155</v>
      </c>
      <c r="J24" s="1" t="s">
        <v>156</v>
      </c>
    </row>
    <row r="25" spans="1:10">
      <c r="A25" s="1" t="s">
        <v>157</v>
      </c>
      <c r="B25" s="40">
        <f>IF(B22&lt;=INDEX(Lookups!$I$3:$I$6,1),INDEX(Lookups!$K$3:$K$6,1),IF(B22&gt;=INDEX(Lookups!$I$3:$I$6,ROWS(Lookups!$I$3:$I$6)),INDEX(Lookups!$K$3:$K$6,ROWS(Lookups!$K$3:$K$6)),INDEX(Lookups!$K$3:$K$6,MATCH(B22,Lookups!$I$3:$I$6,1))+(B22-INDEX(Lookups!$I$3:$I$6,MATCH(B22,Lookups!$I$3:$I$6,1)))*(INDEX(Lookups!$K$3:$K$6,MATCH(B22,Lookups!$I$3:$I$6,1)+1)-INDEX(Lookups!$K$3:$K$6,MATCH(B22,Lookups!$I$3:$I$6,1)))/(INDEX(Lookups!$I$3:$I$6,MATCH(B22,Lookups!$I$3:$I$6,1)+1)-INDEX(Lookups!$I$3:$I$6,MATCH(B22,Lookups!$I$3:$I$6,1)))))</f>
        <v>0.30599999999999999</v>
      </c>
      <c r="C25" s="1" t="s">
        <v>158</v>
      </c>
      <c r="D25" s="12"/>
      <c r="E25" s="1" t="s">
        <v>129</v>
      </c>
      <c r="F25" s="40">
        <f>IF(B29=0,"",SUM(B32:B37)/B29)</f>
        <v>37.971548395345863</v>
      </c>
      <c r="G25" s="1" t="s">
        <v>11</v>
      </c>
      <c r="H25" s="12"/>
      <c r="I25" s="12"/>
      <c r="J25" s="12"/>
    </row>
    <row r="26" spans="1:10">
      <c r="A26" s="1" t="s">
        <v>159</v>
      </c>
      <c r="B26" s="40">
        <f>IF(B22&lt;=INDEX(Lookups!$I$3:$I$6,1),INDEX(Lookups!$L$3:$L$6,1),IF(B22&gt;=INDEX(Lookups!$I$3:$I$6,ROWS(Lookups!$I$3:$I$6)),INDEX(Lookups!$L$3:$L$6,ROWS(Lookups!$L$3:$L$6)),INDEX(Lookups!$L$3:$L$6,MATCH(B22,Lookups!$I$3:$I$6,1))+(B22-INDEX(Lookups!$I$3:$I$6,MATCH(B22,Lookups!$I$3:$I$6,1)))*(INDEX(Lookups!$L$3:$L$6,MATCH(B22,Lookups!$I$3:$I$6,1)+1)-INDEX(Lookups!$L$3:$L$6,MATCH(B22,Lookups!$I$3:$I$6,1)))/(INDEX(Lookups!$I$3:$I$6,MATCH(B22,Lookups!$I$3:$I$6,1)+1)-INDEX(Lookups!$I$3:$I$6,MATCH(B22,Lookups!$I$3:$I$6,1)))))</f>
        <v>6.0999999999999999E-2</v>
      </c>
      <c r="C26" s="1" t="s">
        <v>158</v>
      </c>
      <c r="D26" s="12"/>
      <c r="E26" s="1" t="s">
        <v>132</v>
      </c>
      <c r="F26" s="40">
        <f>IF(B31=0,0,SUM(B32:B37)/B31)</f>
        <v>0.81263963708197329</v>
      </c>
      <c r="G26" s="1" t="s">
        <v>133</v>
      </c>
      <c r="H26" s="12"/>
      <c r="I26" s="12"/>
      <c r="J26" s="12"/>
    </row>
    <row r="27" spans="1:10">
      <c r="A27" s="1" t="s">
        <v>119</v>
      </c>
      <c r="B27" s="40">
        <f>IF(B22&lt;=INDEX(Lookups!$I$3:$I$6,1),INDEX(Lookups!$M$3:$M$6,1),IF(B22&gt;=INDEX(Lookups!$I$3:$I$6,ROWS(Lookups!$I$3:$I$6)),INDEX(Lookups!$M$3:$M$6,ROWS(Lookups!$M$3:$M$6)),INDEX(Lookups!$M$3:$M$6,MATCH(B22,Lookups!$I$3:$I$6,1))+(B22-INDEX(Lookups!$I$3:$I$6,MATCH(B22,Lookups!$I$3:$I$6,1)))*(INDEX(Lookups!$M$3:$M$6,MATCH(B22,Lookups!$I$3:$I$6,1)+1)-INDEX(Lookups!$M$3:$M$6,MATCH(B22,Lookups!$I$3:$I$6,1)))/(INDEX(Lookups!$I$3:$I$6,MATCH(B22,Lookups!$I$3:$I$6,1)+1)-INDEX(Lookups!$I$3:$I$6,MATCH(B22,Lookups!$I$3:$I$6,1)))))*F10</f>
        <v>28.5</v>
      </c>
      <c r="C27" s="1" t="s">
        <v>11</v>
      </c>
      <c r="D27" s="12"/>
      <c r="E27" s="12"/>
      <c r="F27" s="12"/>
      <c r="G27" s="12"/>
      <c r="H27" s="12"/>
      <c r="I27" s="12"/>
      <c r="J27" s="12"/>
    </row>
    <row r="28" spans="1:10">
      <c r="A28" s="1" t="s">
        <v>122</v>
      </c>
      <c r="B28" s="40">
        <f>Main!$B$8*F8</f>
        <v>237.6</v>
      </c>
      <c r="C28" s="1" t="s">
        <v>123</v>
      </c>
      <c r="D28" s="12"/>
      <c r="E28" s="12"/>
      <c r="F28" s="12"/>
      <c r="G28" s="12"/>
      <c r="H28" s="12"/>
      <c r="I28" s="12"/>
      <c r="J28" s="12"/>
    </row>
    <row r="29" spans="1:10">
      <c r="A29" s="1" t="s">
        <v>125</v>
      </c>
      <c r="B29" s="40">
        <f>B24*60*B28*B23</f>
        <v>8446.68</v>
      </c>
      <c r="C29" s="1" t="s">
        <v>126</v>
      </c>
      <c r="D29" s="12"/>
      <c r="E29" s="12"/>
      <c r="F29" s="12"/>
      <c r="G29" s="12"/>
      <c r="H29" s="12"/>
      <c r="I29" s="12"/>
      <c r="J29" s="12"/>
    </row>
    <row r="30" spans="1:10">
      <c r="A30" s="1" t="s">
        <v>127</v>
      </c>
      <c r="B30" s="40">
        <f>7.85*B22*0.35</f>
        <v>83.798749999999984</v>
      </c>
      <c r="C30" s="1" t="s">
        <v>128</v>
      </c>
      <c r="D30" s="12"/>
      <c r="E30" s="12"/>
      <c r="F30" s="12"/>
      <c r="G30" s="12"/>
      <c r="H30" s="12"/>
      <c r="I30" s="12"/>
      <c r="J30" s="12"/>
    </row>
    <row r="31" spans="1:10">
      <c r="A31" s="1" t="s">
        <v>130</v>
      </c>
      <c r="B31" s="40">
        <f>B29*B30*$M$6</f>
        <v>394681.11542243994</v>
      </c>
      <c r="C31" s="1" t="s">
        <v>131</v>
      </c>
      <c r="D31" s="12"/>
      <c r="E31" s="12"/>
      <c r="F31" s="12"/>
      <c r="G31" s="12"/>
      <c r="H31" s="12"/>
      <c r="I31" s="12"/>
      <c r="J31" s="12"/>
    </row>
    <row r="32" spans="1:10">
      <c r="A32" s="1" t="s">
        <v>134</v>
      </c>
      <c r="B32" s="40">
        <f>IF(OR(F5="NA",F5="",NOT(ISNUMBER(F5))),3,F5)*F6</f>
        <v>60</v>
      </c>
      <c r="C32" s="1" t="s">
        <v>135</v>
      </c>
      <c r="D32" s="12"/>
      <c r="E32" s="12"/>
      <c r="F32" s="12"/>
      <c r="G32" s="12"/>
      <c r="H32" s="12"/>
      <c r="I32" s="12"/>
      <c r="J32" s="12"/>
    </row>
    <row r="33" spans="1:10">
      <c r="A33" s="1" t="s">
        <v>160</v>
      </c>
      <c r="B33" s="40">
        <f>B29*B25*Main!$B$11</f>
        <v>31016.20896</v>
      </c>
      <c r="C33" s="1" t="s">
        <v>135</v>
      </c>
      <c r="D33" s="12"/>
      <c r="E33" s="12"/>
      <c r="F33" s="12"/>
      <c r="G33" s="12"/>
      <c r="H33" s="12"/>
      <c r="I33" s="12"/>
      <c r="J33" s="12"/>
    </row>
    <row r="34" spans="1:10">
      <c r="A34" s="1" t="s">
        <v>161</v>
      </c>
      <c r="B34" s="40">
        <f>B29*B26*Main!$B$12</f>
        <v>14426.92944</v>
      </c>
      <c r="C34" s="1" t="s">
        <v>135</v>
      </c>
      <c r="D34" s="12"/>
      <c r="E34" s="12"/>
      <c r="F34" s="12"/>
      <c r="G34" s="12"/>
      <c r="H34" s="12"/>
      <c r="I34" s="12"/>
      <c r="J34" s="12"/>
    </row>
    <row r="35" spans="1:10">
      <c r="A35" s="1" t="s">
        <v>139</v>
      </c>
      <c r="B35" s="40">
        <f>B29*B27</f>
        <v>240730.38</v>
      </c>
      <c r="C35" s="1" t="s">
        <v>135</v>
      </c>
      <c r="D35" s="12"/>
      <c r="E35" s="12"/>
      <c r="F35" s="12"/>
      <c r="G35" s="12"/>
      <c r="H35" s="12"/>
      <c r="I35" s="12"/>
      <c r="J35" s="12"/>
    </row>
    <row r="36" spans="1:10">
      <c r="A36" s="1" t="s">
        <v>140</v>
      </c>
      <c r="B36" s="40">
        <f>1800000*Main!$B$14/12</f>
        <v>4500</v>
      </c>
      <c r="C36" s="1" t="s">
        <v>135</v>
      </c>
      <c r="D36" s="12"/>
      <c r="E36" s="12"/>
      <c r="F36" s="12"/>
      <c r="G36" s="12"/>
      <c r="H36" s="12"/>
      <c r="I36" s="12"/>
      <c r="J36" s="12"/>
    </row>
    <row r="37" spans="1:10">
      <c r="A37" s="1" t="s">
        <v>143</v>
      </c>
      <c r="B37" s="40">
        <f>1800000/Main!$B$15</f>
        <v>30000</v>
      </c>
      <c r="C37" s="1" t="s">
        <v>135</v>
      </c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2"/>
      <c r="J80" s="12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O80"/>
  <sheetViews>
    <sheetView workbookViewId="0"/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4" customWidth="1"/>
    <col min="9" max="9" width="24" customWidth="1"/>
    <col min="10" max="10" width="16" customWidth="1"/>
  </cols>
  <sheetData>
    <row r="1" spans="1:15" ht="18">
      <c r="A1" s="53" t="s">
        <v>162</v>
      </c>
      <c r="B1" s="54"/>
      <c r="C1" s="54"/>
      <c r="D1" s="54"/>
      <c r="E1" s="54"/>
      <c r="F1" s="54"/>
      <c r="G1" s="55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3" t="s">
        <v>80</v>
      </c>
      <c r="B3" s="3"/>
      <c r="C3" s="3"/>
      <c r="D3" s="12"/>
      <c r="E3" s="3" t="s">
        <v>81</v>
      </c>
      <c r="F3" s="3" t="s">
        <v>82</v>
      </c>
      <c r="G3" s="3" t="s">
        <v>83</v>
      </c>
      <c r="H3" s="12"/>
      <c r="I3" s="3" t="s">
        <v>84</v>
      </c>
      <c r="J3" s="3" t="s">
        <v>82</v>
      </c>
      <c r="L3" s="25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87</v>
      </c>
      <c r="B4" s="40">
        <f>IF(OR(F4="NA",F4="",NOT(ISNUMBER(F4))),AVERAGE(5,20),MAX(5,MIN(20,F4)))</f>
        <v>12.5</v>
      </c>
      <c r="C4" s="1" t="s">
        <v>88</v>
      </c>
      <c r="D4" s="12"/>
      <c r="E4" s="1" t="s">
        <v>89</v>
      </c>
      <c r="F4" s="42" t="s">
        <v>90</v>
      </c>
      <c r="G4" s="1" t="s">
        <v>88</v>
      </c>
      <c r="H4" s="12"/>
      <c r="I4" s="1" t="s">
        <v>91</v>
      </c>
      <c r="J4" s="40">
        <f>IF(OR(F4="NA",F4="",NOT(ISNUMBER(F4))),AVERAGE(5,20),F4)</f>
        <v>12.5</v>
      </c>
      <c r="L4" s="8" t="s">
        <v>92</v>
      </c>
      <c r="M4" s="13">
        <v>0.68</v>
      </c>
      <c r="N4" s="27" t="s">
        <v>93</v>
      </c>
      <c r="O4" s="5" t="s">
        <v>94</v>
      </c>
    </row>
    <row r="5" spans="1:15">
      <c r="A5" s="1" t="s">
        <v>95</v>
      </c>
      <c r="B5" s="40">
        <f>IF(OR(F4="NA",F4="",NOT(ISNUMBER(F4))),1,IF(F4&lt;=20,1,0))</f>
        <v>1</v>
      </c>
      <c r="C5" s="1" t="s">
        <v>96</v>
      </c>
      <c r="D5" s="12"/>
      <c r="E5" s="1" t="s">
        <v>97</v>
      </c>
      <c r="F5" s="42">
        <v>3</v>
      </c>
      <c r="G5" s="1" t="s">
        <v>98</v>
      </c>
      <c r="H5" s="12"/>
      <c r="I5" s="1" t="s">
        <v>99</v>
      </c>
      <c r="J5" s="40" t="str">
        <f>IF(OR(F4="NA",F4="",NOT(ISNUMBER(F4))),"BOTH",IF(F4&lt;=20,"PLASMA","GAS"))</f>
        <v>BOTH</v>
      </c>
      <c r="L5" s="8" t="s">
        <v>100</v>
      </c>
      <c r="M5" s="13">
        <v>0.82</v>
      </c>
      <c r="N5" s="27" t="s">
        <v>101</v>
      </c>
      <c r="O5" s="5" t="s">
        <v>102</v>
      </c>
    </row>
    <row r="6" spans="1:15">
      <c r="A6" s="1" t="s">
        <v>103</v>
      </c>
      <c r="B6" s="40">
        <f>IF(B4&lt;=INDEX(Lookups!$A$3:$A$9,1),INDEX(Lookups!$B$3:$B$9,1),IF(B4&gt;=INDEX(Lookups!$A$3:$A$9,ROWS(Lookups!$A$3:$A$9)),INDEX(Lookups!$B$3:$B$9,ROWS(Lookups!$B$3:$B$9)),INDEX(Lookups!$B$3:$B$9,MATCH(B4,Lookups!$A$3:$A$9,1))+(B4-INDEX(Lookups!$A$3:$A$9,MATCH(B4,Lookups!$A$3:$A$9,1)))*(INDEX(Lookups!$B$3:$B$9,MATCH(B4,Lookups!$A$3:$A$9,1)+1)-INDEX(Lookups!$B$3:$B$9,MATCH(B4,Lookups!$A$3:$A$9,1)))/(INDEX(Lookups!$A$3:$A$9,MATCH(B4,Lookups!$A$3:$A$9,1)+1)-INDEX(Lookups!$A$3:$A$9,MATCH(B4,Lookups!$A$3:$A$9,1)))))</f>
        <v>2.3374999999999999</v>
      </c>
      <c r="C6" s="1" t="s">
        <v>104</v>
      </c>
      <c r="D6" s="12"/>
      <c r="E6" s="1" t="s">
        <v>105</v>
      </c>
      <c r="F6" s="42">
        <f>Main!$B$13</f>
        <v>20</v>
      </c>
      <c r="G6" s="1" t="s">
        <v>72</v>
      </c>
      <c r="H6" s="12"/>
      <c r="I6" s="1" t="s">
        <v>106</v>
      </c>
      <c r="J6" s="40">
        <f>IF(J5="PLASMA",B13,IF(J5="GAS",B31,B13+B31))</f>
        <v>1086005.5254486899</v>
      </c>
      <c r="L6" s="8" t="s">
        <v>107</v>
      </c>
      <c r="M6" s="8">
        <f>M4*M5</f>
        <v>0.55759999999999998</v>
      </c>
      <c r="N6" s="27" t="s">
        <v>108</v>
      </c>
      <c r="O6" s="5" t="s">
        <v>109</v>
      </c>
    </row>
    <row r="7" spans="1:15">
      <c r="A7" s="1" t="s">
        <v>110</v>
      </c>
      <c r="B7" s="40">
        <f>IF(B4&lt;=INDEX(Lookups!$A$3:$A$9,1),INDEX(Lookups!$C$3:$C$9,1),IF(B4&gt;=INDEX(Lookups!$A$3:$A$9,ROWS(Lookups!$A$3:$A$9)),INDEX(Lookups!$C$3:$C$9,ROWS(Lookups!$C$3:$C$9)),INDEX(Lookups!$C$3:$C$9,MATCH(B4,Lookups!$A$3:$A$9,1))+(B4-INDEX(Lookups!$A$3:$A$9,MATCH(B4,Lookups!$A$3:$A$9,1)))*(INDEX(Lookups!$C$3:$C$9,MATCH(B4,Lookups!$A$3:$A$9,1)+1)-INDEX(Lookups!$C$3:$C$9,MATCH(B4,Lookups!$A$3:$A$9,1)))/(INDEX(Lookups!$A$3:$A$9,MATCH(B4,Lookups!$A$3:$A$9,1)+1)-INDEX(Lookups!$A$3:$A$9,MATCH(B4,Lookups!$A$3:$A$9,1)))))*F9</f>
        <v>0.11837500000000001</v>
      </c>
      <c r="C7" s="1" t="s">
        <v>111</v>
      </c>
      <c r="D7" s="12"/>
      <c r="E7" s="1" t="s">
        <v>112</v>
      </c>
      <c r="F7" s="42">
        <v>0.65</v>
      </c>
      <c r="G7" s="1" t="s">
        <v>113</v>
      </c>
      <c r="H7" s="12"/>
      <c r="I7" s="1" t="s">
        <v>114</v>
      </c>
      <c r="J7" s="40">
        <f>IF(J5="PLASMA",F13,IF(J5="GAS",F26,IF(B13+B31=0,0,(B13*F13+B31*F26)/(B13+B31))))</f>
        <v>0.78778450438215231</v>
      </c>
      <c r="M7" s="5" t="s">
        <v>92</v>
      </c>
      <c r="N7" s="5" t="e">
        <f>N4*N5*N6</f>
        <v>#VALUE!</v>
      </c>
      <c r="O7" s="5" t="s">
        <v>115</v>
      </c>
    </row>
    <row r="8" spans="1:15">
      <c r="A8" s="1" t="s">
        <v>116</v>
      </c>
      <c r="B8" s="40">
        <f>IF(B4&lt;=INDEX(Lookups!$A$3:$A$9,1),INDEX(Lookups!$D$3:$D$9,1),IF(B4&gt;=INDEX(Lookups!$A$3:$A$9,ROWS(Lookups!$A$3:$A$9)),INDEX(Lookups!$D$3:$D$9,ROWS(Lookups!$D$3:$D$9)),INDEX(Lookups!$D$3:$D$9,MATCH(B4,Lookups!$A$3:$A$9,1))+(B4-INDEX(Lookups!$A$3:$A$9,MATCH(B4,Lookups!$A$3:$A$9,1)))*(INDEX(Lookups!$D$3:$D$9,MATCH(B4,Lookups!$A$3:$A$9,1)+1)-INDEX(Lookups!$D$3:$D$9,MATCH(B4,Lookups!$A$3:$A$9,1)))/(INDEX(Lookups!$A$3:$A$9,MATCH(B4,Lookups!$A$3:$A$9,1)+1)-INDEX(Lookups!$A$3:$A$9,MATCH(B4,Lookups!$A$3:$A$9,1)))))</f>
        <v>3.0374999999999999E-2</v>
      </c>
      <c r="C8" s="1" t="s">
        <v>117</v>
      </c>
      <c r="D8" s="12"/>
      <c r="E8" s="1" t="s">
        <v>118</v>
      </c>
      <c r="F8" s="42">
        <v>0.6</v>
      </c>
      <c r="G8" s="1" t="s">
        <v>113</v>
      </c>
      <c r="H8" s="12"/>
      <c r="I8" s="12"/>
      <c r="J8" s="12"/>
    </row>
    <row r="9" spans="1:15">
      <c r="A9" s="1" t="s">
        <v>119</v>
      </c>
      <c r="B9" s="40">
        <f>IF(B4&lt;=INDEX(Lookups!$A$3:$A$9,1),INDEX(Lookups!$E$3:$E$9,1),IF(B4&gt;=INDEX(Lookups!$A$3:$A$9,ROWS(Lookups!$A$3:$A$9)),INDEX(Lookups!$E$3:$E$9,ROWS(Lookups!$E$3:$E$9)),INDEX(Lookups!$E$3:$E$9,MATCH(B4,Lookups!$A$3:$A$9,1))+(B4-INDEX(Lookups!$A$3:$A$9,MATCH(B4,Lookups!$A$3:$A$9,1)))*(INDEX(Lookups!$E$3:$E$9,MATCH(B4,Lookups!$A$3:$A$9,1)+1)-INDEX(Lookups!$E$3:$E$9,MATCH(B4,Lookups!$A$3:$A$9,1)))/(INDEX(Lookups!$A$3:$A$9,MATCH(B4,Lookups!$A$3:$A$9,1)+1)-INDEX(Lookups!$A$3:$A$9,MATCH(B4,Lookups!$A$3:$A$9,1)))))*F10</f>
        <v>13.25</v>
      </c>
      <c r="C9" s="1" t="s">
        <v>11</v>
      </c>
      <c r="D9" s="12"/>
      <c r="E9" s="1" t="s">
        <v>120</v>
      </c>
      <c r="F9" s="42">
        <v>1</v>
      </c>
      <c r="G9" s="1" t="s">
        <v>121</v>
      </c>
      <c r="H9" s="12"/>
      <c r="I9" s="12"/>
      <c r="J9" s="12"/>
    </row>
    <row r="10" spans="1:15">
      <c r="A10" s="1" t="s">
        <v>122</v>
      </c>
      <c r="B10" s="40">
        <f>Main!$B$8*F7</f>
        <v>257.40000000000003</v>
      </c>
      <c r="C10" s="1" t="s">
        <v>123</v>
      </c>
      <c r="D10" s="12"/>
      <c r="E10" s="1" t="s">
        <v>124</v>
      </c>
      <c r="F10" s="42">
        <v>1</v>
      </c>
      <c r="G10" s="1" t="s">
        <v>121</v>
      </c>
      <c r="H10" s="12"/>
      <c r="I10" s="12"/>
      <c r="J10" s="12"/>
    </row>
    <row r="11" spans="1:15">
      <c r="A11" s="1" t="s">
        <v>125</v>
      </c>
      <c r="B11" s="40">
        <f>B6*60*B10*B5</f>
        <v>36100.350000000006</v>
      </c>
      <c r="C11" s="1" t="s">
        <v>126</v>
      </c>
      <c r="D11" s="12"/>
      <c r="E11" s="12"/>
      <c r="F11" s="43"/>
      <c r="G11" s="12"/>
      <c r="H11" s="12"/>
      <c r="I11" s="12"/>
      <c r="J11" s="12"/>
    </row>
    <row r="12" spans="1:15">
      <c r="A12" s="1" t="s">
        <v>127</v>
      </c>
      <c r="B12" s="40">
        <f>7.85*B4*0.35</f>
        <v>34.34375</v>
      </c>
      <c r="C12" s="1" t="s">
        <v>128</v>
      </c>
      <c r="D12" s="12"/>
      <c r="E12" s="1" t="s">
        <v>129</v>
      </c>
      <c r="F12" s="40">
        <f>IF(B11=0,"",SUM(B14:B19)/B11)</f>
        <v>14.814393938614863</v>
      </c>
      <c r="G12" s="1" t="s">
        <v>11</v>
      </c>
      <c r="H12" s="12"/>
      <c r="I12" s="12"/>
      <c r="J12" s="12"/>
    </row>
    <row r="13" spans="1:15">
      <c r="A13" s="1" t="s">
        <v>130</v>
      </c>
      <c r="B13" s="40">
        <f>B11*B12*$M$6</f>
        <v>691324.41002625006</v>
      </c>
      <c r="C13" s="1" t="s">
        <v>131</v>
      </c>
      <c r="D13" s="12"/>
      <c r="E13" s="1" t="s">
        <v>132</v>
      </c>
      <c r="F13" s="40">
        <f>IF(B13=0,0,SUM(B14:B19)/B13)</f>
        <v>0.77359456496200996</v>
      </c>
      <c r="G13" s="1" t="s">
        <v>133</v>
      </c>
      <c r="H13" s="12"/>
      <c r="I13" s="12"/>
      <c r="J13" s="12"/>
    </row>
    <row r="14" spans="1:15">
      <c r="A14" s="1" t="s">
        <v>134</v>
      </c>
      <c r="B14" s="40">
        <f>IF(OR(F5="NA",F5="",NOT(ISNUMBER(F5))),3,F5)*F6</f>
        <v>60</v>
      </c>
      <c r="C14" s="1" t="s">
        <v>135</v>
      </c>
      <c r="D14" s="12"/>
      <c r="E14" s="12"/>
      <c r="F14" s="12"/>
      <c r="G14" s="12"/>
      <c r="H14" s="12"/>
      <c r="I14" s="12"/>
      <c r="J14" s="12"/>
    </row>
    <row r="15" spans="1:15">
      <c r="A15" s="1" t="s">
        <v>136</v>
      </c>
      <c r="B15" s="40">
        <f>B11*B7*Main!$B$9</f>
        <v>21366.894656250006</v>
      </c>
      <c r="C15" s="1" t="s">
        <v>135</v>
      </c>
      <c r="D15" s="12"/>
      <c r="E15" s="12"/>
      <c r="F15" s="12"/>
      <c r="G15" s="12"/>
      <c r="H15" s="12"/>
      <c r="I15" s="12"/>
      <c r="J15" s="12"/>
    </row>
    <row r="16" spans="1:15">
      <c r="A16" s="1" t="s">
        <v>137</v>
      </c>
      <c r="B16" s="40">
        <f>B11*B8*Main!$B$10</f>
        <v>548.27406562500005</v>
      </c>
      <c r="C16" s="1" t="s">
        <v>135</v>
      </c>
      <c r="D16" s="12"/>
      <c r="E16" s="12"/>
      <c r="F16" s="12"/>
      <c r="G16" s="12"/>
      <c r="H16" s="12"/>
      <c r="I16" s="4" t="s">
        <v>138</v>
      </c>
      <c r="J16" s="4"/>
    </row>
    <row r="17" spans="1:10">
      <c r="A17" s="1" t="s">
        <v>139</v>
      </c>
      <c r="B17" s="40">
        <f>B11*B9</f>
        <v>478329.63750000007</v>
      </c>
      <c r="C17" s="1" t="s">
        <v>135</v>
      </c>
      <c r="D17" s="12"/>
      <c r="E17" s="12"/>
      <c r="F17" s="12"/>
      <c r="G17" s="12"/>
      <c r="H17" s="12"/>
      <c r="I17" s="1" t="s">
        <v>1</v>
      </c>
      <c r="J17" s="1" t="s">
        <v>162</v>
      </c>
    </row>
    <row r="18" spans="1:10">
      <c r="A18" s="1" t="s">
        <v>140</v>
      </c>
      <c r="B18" s="40">
        <f>1800000*Main!$B$14/12</f>
        <v>4500</v>
      </c>
      <c r="C18" s="1" t="s">
        <v>135</v>
      </c>
      <c r="D18" s="12"/>
      <c r="E18" s="12"/>
      <c r="F18" s="12"/>
      <c r="G18" s="12"/>
      <c r="H18" s="12"/>
      <c r="I18" s="1" t="s">
        <v>141</v>
      </c>
      <c r="J18" s="1" t="s">
        <v>142</v>
      </c>
    </row>
    <row r="19" spans="1:10">
      <c r="A19" s="1" t="s">
        <v>143</v>
      </c>
      <c r="B19" s="40">
        <f>1800000/Main!$B$15</f>
        <v>30000</v>
      </c>
      <c r="C19" s="1" t="s">
        <v>135</v>
      </c>
      <c r="D19" s="12"/>
      <c r="E19" s="12"/>
      <c r="F19" s="12"/>
      <c r="G19" s="12"/>
      <c r="H19" s="12"/>
      <c r="I19" s="1" t="s">
        <v>144</v>
      </c>
      <c r="J19" s="1" t="s">
        <v>145</v>
      </c>
    </row>
    <row r="20" spans="1:10">
      <c r="A20" s="12"/>
      <c r="B20" s="12"/>
      <c r="C20" s="12"/>
      <c r="D20" s="12"/>
      <c r="E20" s="12"/>
      <c r="F20" s="12"/>
      <c r="G20" s="12"/>
      <c r="H20" s="12"/>
      <c r="I20" s="1" t="s">
        <v>146</v>
      </c>
      <c r="J20" s="1" t="s">
        <v>147</v>
      </c>
    </row>
    <row r="21" spans="1:10">
      <c r="A21" s="3" t="s">
        <v>148</v>
      </c>
      <c r="B21" s="3"/>
      <c r="C21" s="3"/>
      <c r="D21" s="12"/>
      <c r="E21" s="12"/>
      <c r="F21" s="12"/>
      <c r="G21" s="12"/>
      <c r="H21" s="12"/>
      <c r="I21" s="1" t="s">
        <v>149</v>
      </c>
      <c r="J21" s="1" t="s">
        <v>150</v>
      </c>
    </row>
    <row r="22" spans="1:10">
      <c r="A22" s="1" t="s">
        <v>87</v>
      </c>
      <c r="B22" s="40">
        <f>IF(OR(F4="NA",F4="",NOT(ISNUMBER(F4))),AVERAGE(21,40),MAX(21,MIN(40,F4)))</f>
        <v>30.5</v>
      </c>
      <c r="C22" s="1" t="s">
        <v>88</v>
      </c>
      <c r="D22" s="12"/>
      <c r="E22" s="12"/>
      <c r="F22" s="12"/>
      <c r="G22" s="12"/>
      <c r="H22" s="12"/>
      <c r="I22" s="1" t="s">
        <v>151</v>
      </c>
      <c r="J22" s="1" t="s">
        <v>152</v>
      </c>
    </row>
    <row r="23" spans="1:10">
      <c r="A23" s="1" t="s">
        <v>95</v>
      </c>
      <c r="B23" s="40">
        <f>IF(OR(F4="NA",F4="",NOT(ISNUMBER(F4))),1,IF(F4&gt;20,1,0))</f>
        <v>1</v>
      </c>
      <c r="C23" s="1" t="s">
        <v>96</v>
      </c>
      <c r="D23" s="12"/>
      <c r="E23" s="12"/>
      <c r="F23" s="12"/>
      <c r="G23" s="12"/>
      <c r="H23" s="12"/>
      <c r="I23" s="1" t="s">
        <v>153</v>
      </c>
      <c r="J23" s="1" t="s">
        <v>154</v>
      </c>
    </row>
    <row r="24" spans="1:10">
      <c r="A24" s="1" t="s">
        <v>103</v>
      </c>
      <c r="B24" s="40">
        <f>IF(B22&lt;=INDEX(Lookups!$I$3:$I$6,1),INDEX(Lookups!$J$3:$J$6,1),IF(B22&gt;=INDEX(Lookups!$I$3:$I$6,ROWS(Lookups!$I$3:$I$6)),INDEX(Lookups!$J$3:$J$6,ROWS(Lookups!$J$3:$J$6)),INDEX(Lookups!$J$3:$J$6,MATCH(B22,Lookups!$I$3:$I$6,1))+(B22-INDEX(Lookups!$I$3:$I$6,MATCH(B22,Lookups!$I$3:$I$6,1)))*(INDEX(Lookups!$J$3:$J$6,MATCH(B22,Lookups!$I$3:$I$6,1)+1)-INDEX(Lookups!$J$3:$J$6,MATCH(B22,Lookups!$I$3:$I$6,1)))/(INDEX(Lookups!$I$3:$I$6,MATCH(B22,Lookups!$I$3:$I$6,1)+1)-INDEX(Lookups!$I$3:$I$6,MATCH(B22,Lookups!$I$3:$I$6,1)))))</f>
        <v>0.59250000000000003</v>
      </c>
      <c r="C24" s="1" t="s">
        <v>104</v>
      </c>
      <c r="D24" s="12"/>
      <c r="E24" s="12"/>
      <c r="F24" s="12"/>
      <c r="G24" s="12"/>
      <c r="H24" s="12"/>
      <c r="I24" s="1" t="s">
        <v>155</v>
      </c>
      <c r="J24" s="1" t="s">
        <v>163</v>
      </c>
    </row>
    <row r="25" spans="1:10">
      <c r="A25" s="1" t="s">
        <v>157</v>
      </c>
      <c r="B25" s="40">
        <f>IF(B22&lt;=INDEX(Lookups!$I$3:$I$6,1),INDEX(Lookups!$K$3:$K$6,1),IF(B22&gt;=INDEX(Lookups!$I$3:$I$6,ROWS(Lookups!$I$3:$I$6)),INDEX(Lookups!$K$3:$K$6,ROWS(Lookups!$K$3:$K$6)),INDEX(Lookups!$K$3:$K$6,MATCH(B22,Lookups!$I$3:$I$6,1))+(B22-INDEX(Lookups!$I$3:$I$6,MATCH(B22,Lookups!$I$3:$I$6,1)))*(INDEX(Lookups!$K$3:$K$6,MATCH(B22,Lookups!$I$3:$I$6,1)+1)-INDEX(Lookups!$K$3:$K$6,MATCH(B22,Lookups!$I$3:$I$6,1)))/(INDEX(Lookups!$I$3:$I$6,MATCH(B22,Lookups!$I$3:$I$6,1)+1)-INDEX(Lookups!$I$3:$I$6,MATCH(B22,Lookups!$I$3:$I$6,1)))))</f>
        <v>0.30599999999999999</v>
      </c>
      <c r="C25" s="1" t="s">
        <v>158</v>
      </c>
      <c r="D25" s="12"/>
      <c r="E25" s="1" t="s">
        <v>129</v>
      </c>
      <c r="F25" s="32">
        <f>IF(B29=0,"",SUM(B32:B37)/B29)</f>
        <v>37.971548395345863</v>
      </c>
      <c r="G25" s="1" t="s">
        <v>11</v>
      </c>
      <c r="H25" s="12"/>
      <c r="I25" s="12"/>
      <c r="J25" s="12"/>
    </row>
    <row r="26" spans="1:10">
      <c r="A26" s="1" t="s">
        <v>159</v>
      </c>
      <c r="B26" s="40">
        <f>IF(B22&lt;=INDEX(Lookups!$I$3:$I$6,1),INDEX(Lookups!$L$3:$L$6,1),IF(B22&gt;=INDEX(Lookups!$I$3:$I$6,ROWS(Lookups!$I$3:$I$6)),INDEX(Lookups!$L$3:$L$6,ROWS(Lookups!$L$3:$L$6)),INDEX(Lookups!$L$3:$L$6,MATCH(B22,Lookups!$I$3:$I$6,1))+(B22-INDEX(Lookups!$I$3:$I$6,MATCH(B22,Lookups!$I$3:$I$6,1)))*(INDEX(Lookups!$L$3:$L$6,MATCH(B22,Lookups!$I$3:$I$6,1)+1)-INDEX(Lookups!$L$3:$L$6,MATCH(B22,Lookups!$I$3:$I$6,1)))/(INDEX(Lookups!$I$3:$I$6,MATCH(B22,Lookups!$I$3:$I$6,1)+1)-INDEX(Lookups!$I$3:$I$6,MATCH(B22,Lookups!$I$3:$I$6,1)))))</f>
        <v>6.0999999999999999E-2</v>
      </c>
      <c r="C26" s="1" t="s">
        <v>158</v>
      </c>
      <c r="D26" s="12"/>
      <c r="E26" s="1" t="s">
        <v>132</v>
      </c>
      <c r="F26" s="32">
        <f>IF(B31=0,0,SUM(B32:B37)/B31)</f>
        <v>0.81263963708197329</v>
      </c>
      <c r="G26" s="1" t="s">
        <v>133</v>
      </c>
      <c r="H26" s="12"/>
      <c r="I26" s="12"/>
      <c r="J26" s="12"/>
    </row>
    <row r="27" spans="1:10">
      <c r="A27" s="1" t="s">
        <v>119</v>
      </c>
      <c r="B27" s="40">
        <f>IF(B22&lt;=INDEX(Lookups!$I$3:$I$6,1),INDEX(Lookups!$M$3:$M$6,1),IF(B22&gt;=INDEX(Lookups!$I$3:$I$6,ROWS(Lookups!$I$3:$I$6)),INDEX(Lookups!$M$3:$M$6,ROWS(Lookups!$M$3:$M$6)),INDEX(Lookups!$M$3:$M$6,MATCH(B22,Lookups!$I$3:$I$6,1))+(B22-INDEX(Lookups!$I$3:$I$6,MATCH(B22,Lookups!$I$3:$I$6,1)))*(INDEX(Lookups!$M$3:$M$6,MATCH(B22,Lookups!$I$3:$I$6,1)+1)-INDEX(Lookups!$M$3:$M$6,MATCH(B22,Lookups!$I$3:$I$6,1)))/(INDEX(Lookups!$I$3:$I$6,MATCH(B22,Lookups!$I$3:$I$6,1)+1)-INDEX(Lookups!$I$3:$I$6,MATCH(B22,Lookups!$I$3:$I$6,1)))))*F10</f>
        <v>28.5</v>
      </c>
      <c r="C27" s="1" t="s">
        <v>11</v>
      </c>
      <c r="D27" s="12"/>
      <c r="E27" s="12"/>
      <c r="F27" s="12"/>
      <c r="G27" s="12"/>
      <c r="H27" s="12"/>
      <c r="I27" s="12"/>
      <c r="J27" s="12"/>
    </row>
    <row r="28" spans="1:10">
      <c r="A28" s="1" t="s">
        <v>122</v>
      </c>
      <c r="B28" s="40">
        <f>Main!$B$8*F8</f>
        <v>237.6</v>
      </c>
      <c r="C28" s="1" t="s">
        <v>123</v>
      </c>
      <c r="D28" s="12"/>
      <c r="E28" s="12"/>
      <c r="F28" s="12"/>
      <c r="G28" s="12"/>
      <c r="H28" s="12"/>
      <c r="I28" s="12"/>
      <c r="J28" s="12"/>
    </row>
    <row r="29" spans="1:10">
      <c r="A29" s="1" t="s">
        <v>125</v>
      </c>
      <c r="B29" s="40">
        <f>B24*60*B28*B23</f>
        <v>8446.68</v>
      </c>
      <c r="C29" s="1" t="s">
        <v>126</v>
      </c>
      <c r="D29" s="12"/>
      <c r="E29" s="12"/>
      <c r="F29" s="12"/>
      <c r="G29" s="12"/>
      <c r="H29" s="12"/>
      <c r="I29" s="12"/>
      <c r="J29" s="12"/>
    </row>
    <row r="30" spans="1:10">
      <c r="A30" s="1" t="s">
        <v>127</v>
      </c>
      <c r="B30" s="40">
        <f>7.85*B22*0.35</f>
        <v>83.798749999999984</v>
      </c>
      <c r="C30" s="1" t="s">
        <v>128</v>
      </c>
      <c r="D30" s="12"/>
      <c r="E30" s="12"/>
      <c r="F30" s="12"/>
      <c r="G30" s="12"/>
      <c r="H30" s="12"/>
      <c r="I30" s="12"/>
      <c r="J30" s="12"/>
    </row>
    <row r="31" spans="1:10">
      <c r="A31" s="1" t="s">
        <v>130</v>
      </c>
      <c r="B31" s="40">
        <f>B29*B30*$M$6</f>
        <v>394681.11542243994</v>
      </c>
      <c r="C31" s="1" t="s">
        <v>131</v>
      </c>
      <c r="D31" s="12"/>
      <c r="E31" s="12"/>
      <c r="F31" s="12"/>
      <c r="G31" s="12"/>
      <c r="H31" s="12"/>
      <c r="I31" s="12"/>
      <c r="J31" s="12"/>
    </row>
    <row r="32" spans="1:10">
      <c r="A32" s="1" t="s">
        <v>134</v>
      </c>
      <c r="B32" s="40">
        <f>IF(OR(F5="NA",F5="",NOT(ISNUMBER(F5))),3,F5)*F6</f>
        <v>60</v>
      </c>
      <c r="C32" s="1" t="s">
        <v>135</v>
      </c>
      <c r="D32" s="12"/>
      <c r="E32" s="12"/>
      <c r="F32" s="12"/>
      <c r="G32" s="12"/>
      <c r="H32" s="12"/>
      <c r="I32" s="12"/>
      <c r="J32" s="12"/>
    </row>
    <row r="33" spans="1:10">
      <c r="A33" s="1" t="s">
        <v>160</v>
      </c>
      <c r="B33" s="40">
        <f>B29*B25*Main!$B$11</f>
        <v>31016.20896</v>
      </c>
      <c r="C33" s="1" t="s">
        <v>135</v>
      </c>
      <c r="D33" s="12"/>
      <c r="E33" s="12"/>
      <c r="F33" s="12"/>
      <c r="G33" s="12"/>
      <c r="H33" s="12"/>
      <c r="I33" s="12"/>
      <c r="J33" s="12"/>
    </row>
    <row r="34" spans="1:10">
      <c r="A34" s="1" t="s">
        <v>161</v>
      </c>
      <c r="B34" s="40">
        <f>B29*B26*Main!$B$12</f>
        <v>14426.92944</v>
      </c>
      <c r="C34" s="1" t="s">
        <v>135</v>
      </c>
      <c r="D34" s="12"/>
      <c r="E34" s="12"/>
      <c r="F34" s="12"/>
      <c r="G34" s="12"/>
      <c r="H34" s="12"/>
      <c r="I34" s="12"/>
      <c r="J34" s="12"/>
    </row>
    <row r="35" spans="1:10">
      <c r="A35" s="1" t="s">
        <v>139</v>
      </c>
      <c r="B35" s="40">
        <f>B29*B27</f>
        <v>240730.38</v>
      </c>
      <c r="C35" s="1" t="s">
        <v>135</v>
      </c>
      <c r="D35" s="12"/>
      <c r="E35" s="12"/>
      <c r="F35" s="12"/>
      <c r="G35" s="12"/>
      <c r="H35" s="12"/>
      <c r="I35" s="12"/>
      <c r="J35" s="12"/>
    </row>
    <row r="36" spans="1:10">
      <c r="A36" s="1" t="s">
        <v>140</v>
      </c>
      <c r="B36" s="40">
        <f>1800000*Main!$B$14/12</f>
        <v>4500</v>
      </c>
      <c r="C36" s="1" t="s">
        <v>135</v>
      </c>
      <c r="D36" s="12"/>
      <c r="E36" s="12"/>
      <c r="F36" s="12"/>
      <c r="G36" s="12"/>
      <c r="H36" s="12"/>
      <c r="I36" s="12"/>
      <c r="J36" s="12"/>
    </row>
    <row r="37" spans="1:10">
      <c r="A37" s="1" t="s">
        <v>143</v>
      </c>
      <c r="B37" s="40">
        <f>1800000/Main!$B$15</f>
        <v>30000</v>
      </c>
      <c r="C37" s="1" t="s">
        <v>135</v>
      </c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2"/>
      <c r="J80" s="12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59"/>
  <sheetViews>
    <sheetView workbookViewId="0">
      <selection activeCell="F15" sqref="F15:F16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20" customWidth="1"/>
    <col min="9" max="9" width="18" customWidth="1"/>
    <col min="10" max="10" width="16" customWidth="1"/>
    <col min="11" max="11" width="20" customWidth="1"/>
    <col min="12" max="12" width="16" customWidth="1"/>
    <col min="13" max="13" width="12" customWidth="1"/>
  </cols>
  <sheetData>
    <row r="1" spans="1:15" ht="18">
      <c r="A1" s="56" t="s">
        <v>17</v>
      </c>
      <c r="B1" s="57"/>
      <c r="C1" s="57"/>
      <c r="D1" s="57"/>
      <c r="E1" s="57"/>
      <c r="F1" s="57"/>
      <c r="G1" s="57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21" t="s">
        <v>164</v>
      </c>
      <c r="B3" s="21"/>
      <c r="C3" s="21"/>
      <c r="D3" s="12"/>
      <c r="E3" s="21" t="s">
        <v>81</v>
      </c>
      <c r="F3" s="21" t="s">
        <v>82</v>
      </c>
      <c r="G3" s="21" t="s">
        <v>83</v>
      </c>
      <c r="H3" s="21" t="s">
        <v>165</v>
      </c>
      <c r="I3" s="21" t="s">
        <v>82</v>
      </c>
      <c r="J3" s="12"/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22" t="s">
        <v>167</v>
      </c>
      <c r="B4" s="40">
        <f>F4</f>
        <v>6</v>
      </c>
      <c r="C4" s="22" t="s">
        <v>168</v>
      </c>
      <c r="D4" s="12"/>
      <c r="E4" s="22" t="s">
        <v>169</v>
      </c>
      <c r="F4" s="42">
        <v>6</v>
      </c>
      <c r="G4" s="22" t="s">
        <v>168</v>
      </c>
      <c r="H4" s="22" t="s">
        <v>170</v>
      </c>
      <c r="I4" s="22">
        <f>IF(F4=1.5,3,IF(F4=2,6,IF(F4=3,9,IF(F4=4,12,IF(F4=6,15,IF(F4=8,18,IF(F4=10,21,IF(F4=12,24,15))))))))</f>
        <v>15</v>
      </c>
      <c r="J4" s="12"/>
      <c r="K4" s="8" t="s">
        <v>171</v>
      </c>
      <c r="L4" s="28" t="s">
        <v>92</v>
      </c>
      <c r="M4" s="13">
        <v>0.82</v>
      </c>
      <c r="N4" s="27" t="s">
        <v>172</v>
      </c>
      <c r="O4" s="5" t="s">
        <v>94</v>
      </c>
    </row>
    <row r="5" spans="1:15">
      <c r="A5" s="22" t="s">
        <v>91</v>
      </c>
      <c r="B5" s="40">
        <f>IF(OR(F5="NA",F5="",NOT(ISNUMBER(F5))),SUMPRODUCT((Lookups_Pipe!$A$3:$A$26=F4)*Lookups_Pipe!$C$3:$C$26)/COUNTIF(Lookups_Pipe!$A$3:$A$26,F4),F5)</f>
        <v>8</v>
      </c>
      <c r="C5" s="22" t="s">
        <v>88</v>
      </c>
      <c r="D5" s="12"/>
      <c r="E5" s="22" t="s">
        <v>173</v>
      </c>
      <c r="F5" s="42" t="s">
        <v>90</v>
      </c>
      <c r="G5" s="22" t="s">
        <v>88</v>
      </c>
      <c r="H5" s="22" t="s">
        <v>174</v>
      </c>
      <c r="I5" s="22">
        <f>IF(F4=1.5,5,IF(F4=2,8,IF(F4=3,11,IF(F4=4,14,IF(F4=6,17,IF(F4=8,20,IF(F4=10,23,IF(F4=12,26,17))))))))</f>
        <v>17</v>
      </c>
      <c r="J5" s="12"/>
      <c r="K5" s="8" t="s">
        <v>175</v>
      </c>
      <c r="L5" s="28" t="s">
        <v>100</v>
      </c>
      <c r="M5" s="13">
        <v>0.95</v>
      </c>
      <c r="N5" s="27" t="s">
        <v>176</v>
      </c>
      <c r="O5" s="5" t="s">
        <v>102</v>
      </c>
    </row>
    <row r="6" spans="1:15">
      <c r="A6" s="22" t="s">
        <v>177</v>
      </c>
      <c r="B6" s="40" t="str">
        <f ca="1">I9</f>
        <v>Exact</v>
      </c>
      <c r="C6" s="22"/>
      <c r="D6" s="12"/>
      <c r="E6" s="22" t="s">
        <v>97</v>
      </c>
      <c r="F6" s="42">
        <v>2</v>
      </c>
      <c r="G6" s="22" t="s">
        <v>98</v>
      </c>
      <c r="H6" s="22" t="s">
        <v>91</v>
      </c>
      <c r="I6" s="22">
        <f ca="1">IF(OR(F5="NA",F5="",NOT(ISNUMBER(F5))),AVERAGE(INDEX(Lookups_Pipe!$C:$C,I4):INDEX(Lookups_Pipe!$C:$C,I5)),F5)</f>
        <v>8</v>
      </c>
      <c r="J6" s="12"/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22" t="s">
        <v>179</v>
      </c>
      <c r="B7" s="40">
        <f>I10</f>
        <v>168.3</v>
      </c>
      <c r="C7" s="22" t="s">
        <v>88</v>
      </c>
      <c r="D7" s="12"/>
      <c r="E7" s="22" t="s">
        <v>105</v>
      </c>
      <c r="F7" s="42">
        <f>Main!$B$19</f>
        <v>17250</v>
      </c>
      <c r="G7" s="22" t="s">
        <v>72</v>
      </c>
      <c r="H7" s="22" t="s">
        <v>180</v>
      </c>
      <c r="I7" s="22">
        <f ca="1">MAX(I4,IFERROR(MATCH(I6,INDEX(Lookups_Pipe!$C:$C,I4):INDEX(Lookups_Pipe!$C:$C,I5),1)+I4-1,I4))</f>
        <v>16</v>
      </c>
      <c r="J7" s="12"/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22" t="s">
        <v>182</v>
      </c>
      <c r="B8" s="40">
        <f ca="1">I11</f>
        <v>0.1</v>
      </c>
      <c r="C8" s="22" t="s">
        <v>104</v>
      </c>
      <c r="D8" s="12"/>
      <c r="E8" s="22" t="s">
        <v>183</v>
      </c>
      <c r="F8" s="42">
        <v>0.6</v>
      </c>
      <c r="G8" s="22" t="s">
        <v>113</v>
      </c>
      <c r="H8" s="22" t="s">
        <v>184</v>
      </c>
      <c r="I8" s="22">
        <f ca="1">MIN(I7+1,I5)</f>
        <v>17</v>
      </c>
      <c r="J8" s="12"/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22" t="s">
        <v>119</v>
      </c>
      <c r="B9" s="40">
        <f ca="1">I12</f>
        <v>13</v>
      </c>
      <c r="C9" s="22" t="s">
        <v>11</v>
      </c>
      <c r="D9" s="12"/>
      <c r="E9" s="22" t="s">
        <v>120</v>
      </c>
      <c r="F9" s="42">
        <v>1</v>
      </c>
      <c r="G9" s="22" t="s">
        <v>121</v>
      </c>
      <c r="H9" s="22" t="s">
        <v>177</v>
      </c>
      <c r="I9" s="22" t="str">
        <f ca="1">IF(COUNTIF(INDEX(Lookups_Pipe!$C:$C,I4):INDEX(Lookups_Pipe!$C:$C,I5),I6)&gt;0,"Exact",IF(OR(F5="NA",F5="",NOT(ISNUMBER(F5))),"Average",IF(I7=I8,"Closest","Interpolate")))</f>
        <v>Exact</v>
      </c>
      <c r="J9" s="12"/>
    </row>
    <row r="10" spans="1:15">
      <c r="A10" s="22" t="s">
        <v>127</v>
      </c>
      <c r="B10" s="40">
        <f>0.02466*B5*(B7-B5)</f>
        <v>31.623984000000004</v>
      </c>
      <c r="C10" s="22" t="s">
        <v>128</v>
      </c>
      <c r="D10" s="12"/>
      <c r="E10" s="22" t="s">
        <v>124</v>
      </c>
      <c r="F10" s="42">
        <v>1</v>
      </c>
      <c r="G10" s="22" t="s">
        <v>121</v>
      </c>
      <c r="H10" s="22" t="s">
        <v>179</v>
      </c>
      <c r="I10" s="22">
        <f>INDEX(Lookups_Pipe!$B:$B,I4)</f>
        <v>168.3</v>
      </c>
      <c r="J10" s="12"/>
    </row>
    <row r="11" spans="1:15">
      <c r="A11" s="22" t="s">
        <v>49</v>
      </c>
      <c r="B11" s="40">
        <f>Main!$B$8*F8</f>
        <v>237.6</v>
      </c>
      <c r="C11" s="22" t="s">
        <v>123</v>
      </c>
      <c r="D11" s="12"/>
      <c r="E11" s="12"/>
      <c r="F11" s="43"/>
      <c r="G11" s="12"/>
      <c r="H11" s="22" t="s">
        <v>182</v>
      </c>
      <c r="I11" s="22">
        <f ca="1">IF(I7=I8,INDEX(Lookups_Pipe!$D:$D,I7),INDEX(Lookups_Pipe!$D:$D,I7)+(I6-INDEX(Lookups_Pipe!$C:$C,I7))*(INDEX(Lookups_Pipe!$D:$D,I8)-INDEX(Lookups_Pipe!$D:$D,I7))/(INDEX(Lookups_Pipe!$C:$C,I8)-INDEX(Lookups_Pipe!$C:$C,I7)))</f>
        <v>0.1</v>
      </c>
      <c r="J11" s="12"/>
    </row>
    <row r="12" spans="1:15">
      <c r="A12" s="22" t="s">
        <v>125</v>
      </c>
      <c r="B12" s="40">
        <f ca="1">B11*B8*60</f>
        <v>1425.6000000000001</v>
      </c>
      <c r="C12" s="22" t="s">
        <v>126</v>
      </c>
      <c r="D12" s="12"/>
      <c r="E12" s="12"/>
      <c r="F12" s="43"/>
      <c r="G12" s="12"/>
      <c r="H12" s="22" t="s">
        <v>119</v>
      </c>
      <c r="I12" s="22">
        <f ca="1">IF(I7=I8,INDEX(Lookups_Pipe!$G:$G,I7),INDEX(Lookups_Pipe!$G:$G,I7)+(I6-INDEX(Lookups_Pipe!$C:$C,I7))*(INDEX(Lookups_Pipe!$G:$G,I8)-INDEX(Lookups_Pipe!$G:$G,I7))/(INDEX(Lookups_Pipe!$C:$C,I8)-INDEX(Lookups_Pipe!$C:$C,I7)))*F10</f>
        <v>13</v>
      </c>
      <c r="J12" s="12"/>
    </row>
    <row r="13" spans="1:15">
      <c r="A13" s="22" t="s">
        <v>186</v>
      </c>
      <c r="B13" s="40">
        <f ca="1">B10*B12</f>
        <v>45083.151590400012</v>
      </c>
      <c r="C13" s="22" t="s">
        <v>131</v>
      </c>
      <c r="D13" s="12"/>
      <c r="E13" s="12"/>
      <c r="F13" s="43"/>
      <c r="G13" s="12"/>
      <c r="H13" s="12"/>
      <c r="I13" s="12"/>
      <c r="J13" s="12"/>
    </row>
    <row r="14" spans="1:15">
      <c r="A14" s="22" t="s">
        <v>134</v>
      </c>
      <c r="B14" s="40">
        <f>IF(OR(F6="NA",F6="",NOT(ISNUMBER(F6))),3,F6)*F7</f>
        <v>34500</v>
      </c>
      <c r="C14" s="22" t="s">
        <v>135</v>
      </c>
      <c r="D14" s="12"/>
      <c r="E14" s="12"/>
      <c r="F14" s="43"/>
      <c r="G14" s="12"/>
      <c r="H14" s="12"/>
      <c r="I14" s="12"/>
      <c r="J14" s="12"/>
    </row>
    <row r="15" spans="1:15">
      <c r="A15" s="22" t="s">
        <v>136</v>
      </c>
      <c r="B15" s="40">
        <f ca="1">B12*0.12*Main!$B$9*F9</f>
        <v>855.36</v>
      </c>
      <c r="C15" s="22" t="s">
        <v>135</v>
      </c>
      <c r="D15" s="12"/>
      <c r="E15" s="22" t="s">
        <v>129</v>
      </c>
      <c r="F15" s="31">
        <f ca="1">IF(B12=0,0,SUM(B14:B19)/B12)</f>
        <v>48.571041900486343</v>
      </c>
      <c r="G15" s="22" t="s">
        <v>11</v>
      </c>
      <c r="H15" s="23" t="s">
        <v>138</v>
      </c>
      <c r="I15" s="23"/>
      <c r="J15" s="12"/>
    </row>
    <row r="16" spans="1:15">
      <c r="A16" s="22" t="s">
        <v>137</v>
      </c>
      <c r="B16" s="40">
        <f ca="1">B12*0.03*Main!$B$10</f>
        <v>21.384</v>
      </c>
      <c r="C16" s="22" t="s">
        <v>135</v>
      </c>
      <c r="D16" s="12"/>
      <c r="E16" s="22" t="s">
        <v>132</v>
      </c>
      <c r="F16" s="40">
        <f ca="1">IF(B13=0,0,SUM(B14:B19)/B13)</f>
        <v>1.535892564974936</v>
      </c>
      <c r="G16" s="22" t="s">
        <v>133</v>
      </c>
      <c r="H16" s="22" t="s">
        <v>1</v>
      </c>
      <c r="I16" s="22" t="s">
        <v>17</v>
      </c>
      <c r="J16" s="12"/>
    </row>
    <row r="17" spans="1:10">
      <c r="A17" s="22" t="s">
        <v>139</v>
      </c>
      <c r="B17" s="40">
        <f ca="1">B12*B9</f>
        <v>18532.800000000003</v>
      </c>
      <c r="C17" s="22" t="s">
        <v>135</v>
      </c>
      <c r="D17" s="12"/>
      <c r="E17" s="12"/>
      <c r="F17" s="12"/>
      <c r="G17" s="12"/>
      <c r="H17" s="22" t="s">
        <v>141</v>
      </c>
      <c r="I17" s="22" t="s">
        <v>187</v>
      </c>
      <c r="J17" s="12"/>
    </row>
    <row r="18" spans="1:10">
      <c r="A18" s="22" t="s">
        <v>140</v>
      </c>
      <c r="B18" s="40">
        <f>800000*Main!$B$14/12</f>
        <v>2000</v>
      </c>
      <c r="C18" s="22" t="s">
        <v>135</v>
      </c>
      <c r="D18" s="12"/>
      <c r="E18" s="12"/>
      <c r="F18" s="12"/>
      <c r="G18" s="12"/>
      <c r="H18" s="22" t="s">
        <v>188</v>
      </c>
      <c r="I18" s="22" t="s">
        <v>189</v>
      </c>
      <c r="J18" s="12"/>
    </row>
    <row r="19" spans="1:10">
      <c r="A19" s="22" t="s">
        <v>143</v>
      </c>
      <c r="B19" s="40">
        <f>800000/Main!$B$15</f>
        <v>13333.333333333334</v>
      </c>
      <c r="C19" s="22" t="s">
        <v>135</v>
      </c>
      <c r="D19" s="12"/>
      <c r="E19" s="12"/>
      <c r="F19" s="12"/>
      <c r="G19" s="12"/>
      <c r="H19" s="22" t="s">
        <v>144</v>
      </c>
      <c r="I19" s="22" t="s">
        <v>190</v>
      </c>
      <c r="J19" s="12"/>
    </row>
    <row r="20" spans="1:10">
      <c r="A20" s="12"/>
      <c r="B20" s="12"/>
      <c r="C20" s="12"/>
      <c r="D20" s="12"/>
      <c r="E20" s="12"/>
      <c r="F20" s="12"/>
      <c r="G20" s="12"/>
      <c r="H20" s="22" t="s">
        <v>149</v>
      </c>
      <c r="I20" s="22" t="s">
        <v>191</v>
      </c>
      <c r="J20" s="12"/>
    </row>
    <row r="21" spans="1:10">
      <c r="A21" s="12"/>
      <c r="B21" s="12"/>
      <c r="C21" s="12"/>
      <c r="D21" s="12"/>
      <c r="E21" s="12"/>
      <c r="F21" s="12"/>
      <c r="G21" s="12"/>
      <c r="H21" s="22" t="s">
        <v>86</v>
      </c>
      <c r="I21" s="22" t="s">
        <v>192</v>
      </c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O59"/>
  <sheetViews>
    <sheetView workbookViewId="0">
      <selection activeCell="F21" sqref="F21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20" customWidth="1"/>
    <col min="9" max="9" width="18" customWidth="1"/>
    <col min="10" max="10" width="16" customWidth="1"/>
    <col min="11" max="11" width="20" customWidth="1"/>
    <col min="12" max="12" width="16" customWidth="1"/>
    <col min="13" max="13" width="12" customWidth="1"/>
  </cols>
  <sheetData>
    <row r="1" spans="1:15" ht="18">
      <c r="A1" s="56" t="s">
        <v>20</v>
      </c>
      <c r="B1" s="57"/>
      <c r="C1" s="57"/>
      <c r="D1" s="57"/>
      <c r="E1" s="57"/>
      <c r="F1" s="57"/>
      <c r="G1" s="57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21" t="s">
        <v>164</v>
      </c>
      <c r="B3" s="21"/>
      <c r="C3" s="21"/>
      <c r="D3" s="12"/>
      <c r="E3" s="21" t="s">
        <v>81</v>
      </c>
      <c r="F3" s="21" t="s">
        <v>82</v>
      </c>
      <c r="G3" s="21" t="s">
        <v>83</v>
      </c>
      <c r="H3" s="21" t="s">
        <v>165</v>
      </c>
      <c r="I3" s="21" t="s">
        <v>82</v>
      </c>
      <c r="J3" s="12"/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22" t="s">
        <v>167</v>
      </c>
      <c r="B4" s="40">
        <f>F4</f>
        <v>6</v>
      </c>
      <c r="C4" s="22" t="s">
        <v>168</v>
      </c>
      <c r="D4" s="12"/>
      <c r="E4" s="22" t="s">
        <v>169</v>
      </c>
      <c r="F4" s="42">
        <v>6</v>
      </c>
      <c r="G4" s="22" t="s">
        <v>168</v>
      </c>
      <c r="H4" s="22" t="s">
        <v>170</v>
      </c>
      <c r="I4" s="40">
        <f>IF(F4=1.5,3,IF(F4=2,6,IF(F4=3,9,IF(F4=4,12,IF(F4=6,15,IF(F4=8,18,IF(F4=10,21,IF(F4=12,24,15))))))))</f>
        <v>15</v>
      </c>
      <c r="J4" s="12"/>
      <c r="K4" s="8" t="s">
        <v>171</v>
      </c>
      <c r="L4" s="28" t="s">
        <v>92</v>
      </c>
      <c r="M4" s="13">
        <v>0.82</v>
      </c>
      <c r="N4" s="27" t="s">
        <v>172</v>
      </c>
      <c r="O4" s="5" t="s">
        <v>94</v>
      </c>
    </row>
    <row r="5" spans="1:15">
      <c r="A5" s="22" t="s">
        <v>91</v>
      </c>
      <c r="B5" s="40">
        <f>IF(OR(F5="NA",F5="",NOT(ISNUMBER(F5))),SUMPRODUCT((Lookups_Pipe!$A$3:$A$26=F4)*Lookups_Pipe!$C$3:$C$26)/COUNTIF(Lookups_Pipe!$A$3:$A$26,F4),F5)</f>
        <v>8</v>
      </c>
      <c r="C5" s="22" t="s">
        <v>88</v>
      </c>
      <c r="D5" s="12"/>
      <c r="E5" s="22" t="s">
        <v>173</v>
      </c>
      <c r="F5" s="42" t="s">
        <v>90</v>
      </c>
      <c r="G5" s="22" t="s">
        <v>88</v>
      </c>
      <c r="H5" s="22" t="s">
        <v>174</v>
      </c>
      <c r="I5" s="40">
        <f>IF(F4=1.5,5,IF(F4=2,8,IF(F4=3,11,IF(F4=4,14,IF(F4=6,17,IF(F4=8,20,IF(F4=10,23,IF(F4=12,26,17))))))))</f>
        <v>17</v>
      </c>
      <c r="J5" s="12"/>
      <c r="K5" s="8" t="s">
        <v>175</v>
      </c>
      <c r="L5" s="28" t="s">
        <v>100</v>
      </c>
      <c r="M5" s="13">
        <v>0.95</v>
      </c>
      <c r="N5" s="27" t="s">
        <v>176</v>
      </c>
      <c r="O5" s="5" t="s">
        <v>102</v>
      </c>
    </row>
    <row r="6" spans="1:15">
      <c r="A6" s="22" t="s">
        <v>177</v>
      </c>
      <c r="B6" s="40" t="str">
        <f ca="1">I9</f>
        <v>Exact</v>
      </c>
      <c r="C6" s="22"/>
      <c r="D6" s="12"/>
      <c r="E6" s="22" t="s">
        <v>97</v>
      </c>
      <c r="F6" s="42">
        <v>2</v>
      </c>
      <c r="G6" s="22" t="s">
        <v>98</v>
      </c>
      <c r="H6" s="22" t="s">
        <v>91</v>
      </c>
      <c r="I6" s="40">
        <f ca="1">IF(OR(F5="NA",F5="",NOT(ISNUMBER(F5))),AVERAGE(INDEX(Lookups_Pipe!$C:$C,I4):INDEX(Lookups_Pipe!$C:$C,I5)),F5)</f>
        <v>8</v>
      </c>
      <c r="J6" s="12"/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22" t="s">
        <v>179</v>
      </c>
      <c r="B7" s="40">
        <f>I10</f>
        <v>168.3</v>
      </c>
      <c r="C7" s="22" t="s">
        <v>88</v>
      </c>
      <c r="D7" s="12"/>
      <c r="E7" s="22" t="s">
        <v>105</v>
      </c>
      <c r="F7" s="42">
        <f>Main!$B$19</f>
        <v>17250</v>
      </c>
      <c r="G7" s="22" t="s">
        <v>72</v>
      </c>
      <c r="H7" s="22" t="s">
        <v>180</v>
      </c>
      <c r="I7" s="40">
        <f ca="1">MAX(I4,IFERROR(MATCH(I6,INDEX(Lookups_Pipe!$C:$C,I4):INDEX(Lookups_Pipe!$C:$C,I5),1)+I4-1,I4))</f>
        <v>16</v>
      </c>
      <c r="J7" s="12"/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22" t="s">
        <v>182</v>
      </c>
      <c r="B8" s="40">
        <f ca="1">I11</f>
        <v>0.1</v>
      </c>
      <c r="C8" s="22" t="s">
        <v>104</v>
      </c>
      <c r="D8" s="12"/>
      <c r="E8" s="22" t="s">
        <v>183</v>
      </c>
      <c r="F8" s="42">
        <v>0.6</v>
      </c>
      <c r="G8" s="22" t="s">
        <v>113</v>
      </c>
      <c r="H8" s="22" t="s">
        <v>184</v>
      </c>
      <c r="I8" s="40">
        <f ca="1">MIN(I7+1,I5)</f>
        <v>17</v>
      </c>
      <c r="J8" s="12"/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22" t="s">
        <v>119</v>
      </c>
      <c r="B9" s="40">
        <f ca="1">I12</f>
        <v>13</v>
      </c>
      <c r="C9" s="22" t="s">
        <v>11</v>
      </c>
      <c r="D9" s="12"/>
      <c r="E9" s="22" t="s">
        <v>120</v>
      </c>
      <c r="F9" s="42">
        <v>1</v>
      </c>
      <c r="G9" s="22" t="s">
        <v>121</v>
      </c>
      <c r="H9" s="22" t="s">
        <v>177</v>
      </c>
      <c r="I9" s="40" t="str">
        <f ca="1">IF(COUNTIF(INDEX(Lookups_Pipe!$C:$C,I4):INDEX(Lookups_Pipe!$C:$C,I5),I6)&gt;0,"Exact",IF(OR(F5="NA",F5="",NOT(ISNUMBER(F5))),"Average",IF(I7=I8,"Closest","Interpolate")))</f>
        <v>Exact</v>
      </c>
      <c r="J9" s="12"/>
    </row>
    <row r="10" spans="1:15">
      <c r="A10" s="22" t="s">
        <v>127</v>
      </c>
      <c r="B10" s="40">
        <f>0.02466*B5*(B7-B5)</f>
        <v>31.623984000000004</v>
      </c>
      <c r="C10" s="22" t="s">
        <v>128</v>
      </c>
      <c r="D10" s="12"/>
      <c r="E10" s="22" t="s">
        <v>124</v>
      </c>
      <c r="F10" s="42">
        <v>1</v>
      </c>
      <c r="G10" s="22" t="s">
        <v>121</v>
      </c>
      <c r="H10" s="22" t="s">
        <v>179</v>
      </c>
      <c r="I10" s="40">
        <f>INDEX(Lookups_Pipe!$B:$B,I4)</f>
        <v>168.3</v>
      </c>
      <c r="J10" s="12"/>
    </row>
    <row r="11" spans="1:15">
      <c r="A11" s="22" t="s">
        <v>49</v>
      </c>
      <c r="B11" s="40">
        <f>Main!$B$8*F8</f>
        <v>237.6</v>
      </c>
      <c r="C11" s="22" t="s">
        <v>123</v>
      </c>
      <c r="D11" s="12"/>
      <c r="E11" s="12"/>
      <c r="F11" s="41"/>
      <c r="G11" s="12"/>
      <c r="H11" s="22" t="s">
        <v>182</v>
      </c>
      <c r="I11" s="40">
        <f ca="1">IF(I7=I8,INDEX(Lookups_Pipe!$D:$D,I7),INDEX(Lookups_Pipe!$D:$D,I7)+(I6-INDEX(Lookups_Pipe!$C:$C,I7))*(INDEX(Lookups_Pipe!$D:$D,I8)-INDEX(Lookups_Pipe!$D:$D,I7))/(INDEX(Lookups_Pipe!$C:$C,I8)-INDEX(Lookups_Pipe!$C:$C,I7)))</f>
        <v>0.1</v>
      </c>
      <c r="J11" s="12"/>
    </row>
    <row r="12" spans="1:15">
      <c r="A12" s="22" t="s">
        <v>125</v>
      </c>
      <c r="B12" s="40">
        <f ca="1">B11*B8*60</f>
        <v>1425.6000000000001</v>
      </c>
      <c r="C12" s="22" t="s">
        <v>126</v>
      </c>
      <c r="D12" s="12"/>
      <c r="E12" s="12"/>
      <c r="F12" s="41"/>
      <c r="G12" s="12"/>
      <c r="H12" s="22" t="s">
        <v>119</v>
      </c>
      <c r="I12" s="40">
        <f ca="1">IF(I7=I8,INDEX(Lookups_Pipe!$G:$G,I7),INDEX(Lookups_Pipe!$G:$G,I7)+(I6-INDEX(Lookups_Pipe!$C:$C,I7))*(INDEX(Lookups_Pipe!$G:$G,I8)-INDEX(Lookups_Pipe!$G:$G,I7))/(INDEX(Lookups_Pipe!$C:$C,I8)-INDEX(Lookups_Pipe!$C:$C,I7)))*F10</f>
        <v>13</v>
      </c>
      <c r="J12" s="12"/>
    </row>
    <row r="13" spans="1:15">
      <c r="A13" s="22" t="s">
        <v>186</v>
      </c>
      <c r="B13" s="40">
        <f ca="1">B10*B12</f>
        <v>45083.151590400012</v>
      </c>
      <c r="C13" s="22" t="s">
        <v>131</v>
      </c>
      <c r="D13" s="12"/>
      <c r="E13" s="12"/>
      <c r="F13" s="41"/>
      <c r="G13" s="12"/>
      <c r="H13" s="12"/>
      <c r="I13" s="12"/>
      <c r="J13" s="12"/>
    </row>
    <row r="14" spans="1:15">
      <c r="A14" s="22" t="s">
        <v>134</v>
      </c>
      <c r="B14" s="40">
        <f>IF(OR(F6="NA",F6="",NOT(ISNUMBER(F6))),3,F6)*F7</f>
        <v>34500</v>
      </c>
      <c r="C14" s="22" t="s">
        <v>135</v>
      </c>
      <c r="D14" s="12"/>
      <c r="E14" s="12"/>
      <c r="F14" s="41"/>
      <c r="G14" s="12"/>
      <c r="H14" s="12"/>
      <c r="I14" s="12"/>
      <c r="J14" s="12"/>
    </row>
    <row r="15" spans="1:15">
      <c r="A15" s="22" t="s">
        <v>136</v>
      </c>
      <c r="B15" s="40">
        <f ca="1">B12*0.12*Main!$B$9*F9</f>
        <v>855.36</v>
      </c>
      <c r="C15" s="22" t="s">
        <v>135</v>
      </c>
      <c r="D15" s="12"/>
      <c r="E15" s="22" t="s">
        <v>129</v>
      </c>
      <c r="F15" s="31">
        <f ca="1">IF(B12=0,0,SUM(B14:B19)/B12)</f>
        <v>48.571041900486343</v>
      </c>
      <c r="G15" s="22" t="s">
        <v>11</v>
      </c>
      <c r="H15" s="23" t="s">
        <v>138</v>
      </c>
      <c r="I15" s="23"/>
      <c r="J15" s="12"/>
    </row>
    <row r="16" spans="1:15">
      <c r="A16" s="22" t="s">
        <v>137</v>
      </c>
      <c r="B16" s="40">
        <f ca="1">B12*0.03*Main!$B$10</f>
        <v>21.384</v>
      </c>
      <c r="C16" s="22" t="s">
        <v>135</v>
      </c>
      <c r="D16" s="12"/>
      <c r="E16" s="22" t="s">
        <v>132</v>
      </c>
      <c r="F16" s="40">
        <f ca="1">IF(B13=0,0,SUM(B14:B19)/B13)</f>
        <v>1.535892564974936</v>
      </c>
      <c r="G16" s="22" t="s">
        <v>133</v>
      </c>
      <c r="H16" s="22" t="s">
        <v>1</v>
      </c>
      <c r="I16" s="22" t="s">
        <v>20</v>
      </c>
      <c r="J16" s="12"/>
    </row>
    <row r="17" spans="1:10">
      <c r="A17" s="22" t="s">
        <v>139</v>
      </c>
      <c r="B17" s="40">
        <f ca="1">B12*B9</f>
        <v>18532.800000000003</v>
      </c>
      <c r="C17" s="22" t="s">
        <v>135</v>
      </c>
      <c r="D17" s="12"/>
      <c r="E17" s="12"/>
      <c r="F17" s="12"/>
      <c r="G17" s="12"/>
      <c r="H17" s="22" t="s">
        <v>141</v>
      </c>
      <c r="I17" s="22" t="s">
        <v>187</v>
      </c>
      <c r="J17" s="12"/>
    </row>
    <row r="18" spans="1:10">
      <c r="A18" s="22" t="s">
        <v>140</v>
      </c>
      <c r="B18" s="40">
        <f>800000*Main!$B$14/12</f>
        <v>2000</v>
      </c>
      <c r="C18" s="22" t="s">
        <v>135</v>
      </c>
      <c r="D18" s="12"/>
      <c r="E18" s="12"/>
      <c r="F18" s="12"/>
      <c r="G18" s="12"/>
      <c r="H18" s="22" t="s">
        <v>188</v>
      </c>
      <c r="I18" s="22" t="s">
        <v>189</v>
      </c>
      <c r="J18" s="12"/>
    </row>
    <row r="19" spans="1:10">
      <c r="A19" s="22" t="s">
        <v>143</v>
      </c>
      <c r="B19" s="40">
        <f>800000/Main!$B$15</f>
        <v>13333.333333333334</v>
      </c>
      <c r="C19" s="22" t="s">
        <v>135</v>
      </c>
      <c r="D19" s="12"/>
      <c r="E19" s="12"/>
      <c r="F19" s="12"/>
      <c r="G19" s="12"/>
      <c r="H19" s="22" t="s">
        <v>144</v>
      </c>
      <c r="I19" s="22" t="s">
        <v>190</v>
      </c>
      <c r="J19" s="12"/>
    </row>
    <row r="20" spans="1:10">
      <c r="A20" s="12"/>
      <c r="B20" s="12"/>
      <c r="C20" s="12"/>
      <c r="D20" s="12"/>
      <c r="E20" s="12"/>
      <c r="F20" s="12"/>
      <c r="G20" s="12"/>
      <c r="H20" s="22" t="s">
        <v>149</v>
      </c>
      <c r="I20" s="22" t="s">
        <v>191</v>
      </c>
      <c r="J20" s="12"/>
    </row>
    <row r="21" spans="1:10">
      <c r="A21" s="12"/>
      <c r="B21" s="12"/>
      <c r="C21" s="12"/>
      <c r="D21" s="12"/>
      <c r="E21" s="12"/>
      <c r="F21" s="12"/>
      <c r="G21" s="12"/>
      <c r="H21" s="22" t="s">
        <v>86</v>
      </c>
      <c r="I21" s="22" t="s">
        <v>192</v>
      </c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59"/>
  <sheetViews>
    <sheetView workbookViewId="0">
      <selection activeCell="F15" sqref="F15:F16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5" width="20" customWidth="1"/>
    <col min="6" max="6" width="18" customWidth="1"/>
    <col min="7" max="7" width="12" customWidth="1"/>
    <col min="8" max="8" width="20" customWidth="1"/>
    <col min="9" max="9" width="18" customWidth="1"/>
    <col min="10" max="10" width="16" customWidth="1"/>
    <col min="11" max="11" width="20" customWidth="1"/>
    <col min="12" max="12" width="16" customWidth="1"/>
    <col min="13" max="13" width="12" customWidth="1"/>
  </cols>
  <sheetData>
    <row r="1" spans="1:15" ht="18">
      <c r="A1" s="56" t="s">
        <v>19</v>
      </c>
      <c r="B1" s="57"/>
      <c r="C1" s="57"/>
      <c r="D1" s="57"/>
      <c r="E1" s="57"/>
      <c r="F1" s="57"/>
      <c r="G1" s="57"/>
      <c r="H1" s="12"/>
      <c r="I1" s="12"/>
      <c r="J1" s="12"/>
    </row>
    <row r="2" spans="1:1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5">
      <c r="A3" s="21" t="s">
        <v>164</v>
      </c>
      <c r="B3" s="21"/>
      <c r="C3" s="21"/>
      <c r="D3" s="12"/>
      <c r="E3" s="21" t="s">
        <v>81</v>
      </c>
      <c r="F3" s="21" t="s">
        <v>82</v>
      </c>
      <c r="G3" s="21" t="s">
        <v>83</v>
      </c>
      <c r="H3" s="21" t="s">
        <v>165</v>
      </c>
      <c r="I3" s="21" t="s">
        <v>82</v>
      </c>
      <c r="J3" s="12"/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22" t="s">
        <v>167</v>
      </c>
      <c r="B4" s="40">
        <f>F4</f>
        <v>6</v>
      </c>
      <c r="C4" s="22" t="s">
        <v>168</v>
      </c>
      <c r="D4" s="12"/>
      <c r="E4" s="22" t="s">
        <v>169</v>
      </c>
      <c r="F4" s="42">
        <v>6</v>
      </c>
      <c r="G4" s="22" t="s">
        <v>168</v>
      </c>
      <c r="H4" s="22" t="s">
        <v>170</v>
      </c>
      <c r="I4" s="22">
        <f>IF(F4=1.5,3,IF(F4=2,6,IF(F4=3,9,IF(F4=4,12,IF(F4=6,15,IF(F4=8,18,IF(F4=10,21,IF(F4=12,24,15))))))))</f>
        <v>15</v>
      </c>
      <c r="J4" s="12"/>
      <c r="K4" s="8" t="s">
        <v>171</v>
      </c>
      <c r="L4" s="28" t="s">
        <v>92</v>
      </c>
      <c r="M4" s="13">
        <v>0.82</v>
      </c>
      <c r="N4" s="27" t="s">
        <v>172</v>
      </c>
      <c r="O4" s="5" t="s">
        <v>94</v>
      </c>
    </row>
    <row r="5" spans="1:15">
      <c r="A5" s="22" t="s">
        <v>91</v>
      </c>
      <c r="B5" s="40">
        <f>IF(OR(F5="NA",F5="",NOT(ISNUMBER(F5))),SUMPRODUCT((Lookups_Pipe!$A$3:$A$26=F4)*Lookups_Pipe!$C$3:$C$26)/COUNTIF(Lookups_Pipe!$A$3:$A$26,F4),F5)</f>
        <v>8</v>
      </c>
      <c r="C5" s="22" t="s">
        <v>88</v>
      </c>
      <c r="D5" s="12"/>
      <c r="E5" s="22" t="s">
        <v>173</v>
      </c>
      <c r="F5" s="42" t="s">
        <v>90</v>
      </c>
      <c r="G5" s="22" t="s">
        <v>88</v>
      </c>
      <c r="H5" s="22" t="s">
        <v>174</v>
      </c>
      <c r="I5" s="22">
        <f>IF(F4=1.5,5,IF(F4=2,8,IF(F4=3,11,IF(F4=4,14,IF(F4=6,17,IF(F4=8,20,IF(F4=10,23,IF(F4=12,26,17))))))))</f>
        <v>17</v>
      </c>
      <c r="J5" s="12"/>
      <c r="K5" s="8" t="s">
        <v>175</v>
      </c>
      <c r="L5" s="28" t="s">
        <v>100</v>
      </c>
      <c r="M5" s="13">
        <v>0.95</v>
      </c>
      <c r="N5" s="27" t="s">
        <v>176</v>
      </c>
      <c r="O5" s="5" t="s">
        <v>102</v>
      </c>
    </row>
    <row r="6" spans="1:15">
      <c r="A6" s="22" t="s">
        <v>177</v>
      </c>
      <c r="B6" s="40" t="str">
        <f ca="1">I9</f>
        <v>Exact</v>
      </c>
      <c r="C6" s="22"/>
      <c r="D6" s="12"/>
      <c r="E6" s="22" t="s">
        <v>97</v>
      </c>
      <c r="F6" s="42">
        <v>2</v>
      </c>
      <c r="G6" s="22" t="s">
        <v>98</v>
      </c>
      <c r="H6" s="22" t="s">
        <v>91</v>
      </c>
      <c r="I6" s="22">
        <f ca="1">IF(OR(F5="NA",F5="",NOT(ISNUMBER(F5))),AVERAGE(INDEX(Lookups_Pipe!$C:$C,I4):INDEX(Lookups_Pipe!$C:$C,I5)),F5)</f>
        <v>8</v>
      </c>
      <c r="J6" s="12"/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22" t="s">
        <v>179</v>
      </c>
      <c r="B7" s="40">
        <f>I10</f>
        <v>168.3</v>
      </c>
      <c r="C7" s="22" t="s">
        <v>88</v>
      </c>
      <c r="D7" s="12"/>
      <c r="E7" s="22" t="s">
        <v>105</v>
      </c>
      <c r="F7" s="42">
        <f>Main!$B$19</f>
        <v>17250</v>
      </c>
      <c r="G7" s="22" t="s">
        <v>72</v>
      </c>
      <c r="H7" s="22" t="s">
        <v>180</v>
      </c>
      <c r="I7" s="22">
        <f ca="1">MAX(I4,IFERROR(MATCH(I6,INDEX(Lookups_Pipe!$C:$C,I4):INDEX(Lookups_Pipe!$C:$C,I5),1)+I4-1,I4))</f>
        <v>16</v>
      </c>
      <c r="J7" s="12"/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22" t="s">
        <v>182</v>
      </c>
      <c r="B8" s="40">
        <f ca="1">I11</f>
        <v>0.1</v>
      </c>
      <c r="C8" s="22" t="s">
        <v>104</v>
      </c>
      <c r="D8" s="12"/>
      <c r="E8" s="22" t="s">
        <v>183</v>
      </c>
      <c r="F8" s="42">
        <v>0.6</v>
      </c>
      <c r="G8" s="22" t="s">
        <v>113</v>
      </c>
      <c r="H8" s="22" t="s">
        <v>184</v>
      </c>
      <c r="I8" s="22">
        <f ca="1">MIN(I7+1,I5)</f>
        <v>17</v>
      </c>
      <c r="J8" s="12"/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22" t="s">
        <v>119</v>
      </c>
      <c r="B9" s="40">
        <f ca="1">I12</f>
        <v>13</v>
      </c>
      <c r="C9" s="22" t="s">
        <v>11</v>
      </c>
      <c r="D9" s="12"/>
      <c r="E9" s="22" t="s">
        <v>120</v>
      </c>
      <c r="F9" s="42">
        <v>1</v>
      </c>
      <c r="G9" s="22" t="s">
        <v>121</v>
      </c>
      <c r="H9" s="22" t="s">
        <v>177</v>
      </c>
      <c r="I9" s="22" t="str">
        <f ca="1">IF(COUNTIF(INDEX(Lookups_Pipe!$C:$C,I4):INDEX(Lookups_Pipe!$C:$C,I5),I6)&gt;0,"Exact",IF(OR(F5="NA",F5="",NOT(ISNUMBER(F5))),"Average",IF(I7=I8,"Closest","Interpolate")))</f>
        <v>Exact</v>
      </c>
      <c r="J9" s="12"/>
    </row>
    <row r="10" spans="1:15">
      <c r="A10" s="22" t="s">
        <v>127</v>
      </c>
      <c r="B10" s="40">
        <f>0.02466*B5*(B7-B5)</f>
        <v>31.623984000000004</v>
      </c>
      <c r="C10" s="22" t="s">
        <v>128</v>
      </c>
      <c r="D10" s="12"/>
      <c r="E10" s="22" t="s">
        <v>124</v>
      </c>
      <c r="F10" s="42">
        <v>1</v>
      </c>
      <c r="G10" s="22" t="s">
        <v>121</v>
      </c>
      <c r="H10" s="22" t="s">
        <v>179</v>
      </c>
      <c r="I10" s="22">
        <f>INDEX(Lookups_Pipe!$B:$B,I4)</f>
        <v>168.3</v>
      </c>
      <c r="J10" s="12"/>
    </row>
    <row r="11" spans="1:15">
      <c r="A11" s="22" t="s">
        <v>49</v>
      </c>
      <c r="B11" s="40">
        <f>Main!$B$8*F8</f>
        <v>237.6</v>
      </c>
      <c r="C11" s="22" t="s">
        <v>123</v>
      </c>
      <c r="D11" s="12"/>
      <c r="E11" s="12"/>
      <c r="F11" s="43"/>
      <c r="G11" s="12"/>
      <c r="H11" s="22" t="s">
        <v>182</v>
      </c>
      <c r="I11" s="22">
        <f ca="1">IF(I7=I8,INDEX(Lookups_Pipe!$D:$D,I7),INDEX(Lookups_Pipe!$D:$D,I7)+(I6-INDEX(Lookups_Pipe!$C:$C,I7))*(INDEX(Lookups_Pipe!$D:$D,I8)-INDEX(Lookups_Pipe!$D:$D,I7))/(INDEX(Lookups_Pipe!$C:$C,I8)-INDEX(Lookups_Pipe!$C:$C,I7)))</f>
        <v>0.1</v>
      </c>
      <c r="J11" s="12"/>
    </row>
    <row r="12" spans="1:15">
      <c r="A12" s="22" t="s">
        <v>125</v>
      </c>
      <c r="B12" s="40">
        <f ca="1">B11*B8*60</f>
        <v>1425.6000000000001</v>
      </c>
      <c r="C12" s="22" t="s">
        <v>126</v>
      </c>
      <c r="D12" s="12"/>
      <c r="E12" s="12"/>
      <c r="F12" s="43"/>
      <c r="G12" s="12"/>
      <c r="H12" s="22" t="s">
        <v>119</v>
      </c>
      <c r="I12" s="22">
        <f ca="1">IF(I7=I8,INDEX(Lookups_Pipe!$G:$G,I7),INDEX(Lookups_Pipe!$G:$G,I7)+(I6-INDEX(Lookups_Pipe!$C:$C,I7))*(INDEX(Lookups_Pipe!$G:$G,I8)-INDEX(Lookups_Pipe!$G:$G,I7))/(INDEX(Lookups_Pipe!$C:$C,I8)-INDEX(Lookups_Pipe!$C:$C,I7)))*F10</f>
        <v>13</v>
      </c>
      <c r="J12" s="12"/>
    </row>
    <row r="13" spans="1:15">
      <c r="A13" s="22" t="s">
        <v>186</v>
      </c>
      <c r="B13" s="40">
        <f ca="1">B10*B12</f>
        <v>45083.151590400012</v>
      </c>
      <c r="C13" s="22" t="s">
        <v>131</v>
      </c>
      <c r="D13" s="12"/>
      <c r="E13" s="12"/>
      <c r="F13" s="43"/>
      <c r="G13" s="12"/>
      <c r="H13" s="12"/>
      <c r="I13" s="12"/>
      <c r="J13" s="12"/>
    </row>
    <row r="14" spans="1:15">
      <c r="A14" s="22" t="s">
        <v>134</v>
      </c>
      <c r="B14" s="40">
        <f>IF(OR(F6="NA",F6="",NOT(ISNUMBER(F6))),3,F6)*F7</f>
        <v>34500</v>
      </c>
      <c r="C14" s="22" t="s">
        <v>135</v>
      </c>
      <c r="D14" s="12"/>
      <c r="E14" s="12"/>
      <c r="F14" s="43"/>
      <c r="G14" s="12"/>
      <c r="H14" s="12"/>
      <c r="I14" s="12"/>
      <c r="J14" s="12"/>
    </row>
    <row r="15" spans="1:15">
      <c r="A15" s="22" t="s">
        <v>136</v>
      </c>
      <c r="B15" s="40">
        <f ca="1">B12*0.12*Main!$B$9*F9</f>
        <v>855.36</v>
      </c>
      <c r="C15" s="22" t="s">
        <v>135</v>
      </c>
      <c r="D15" s="12"/>
      <c r="E15" s="22" t="s">
        <v>129</v>
      </c>
      <c r="F15" s="31">
        <f ca="1">IF(B12=0,0,SUM(B14:B19)/B12)</f>
        <v>48.571041900486343</v>
      </c>
      <c r="G15" s="22" t="s">
        <v>11</v>
      </c>
      <c r="H15" s="23" t="s">
        <v>138</v>
      </c>
      <c r="I15" s="23"/>
      <c r="J15" s="12"/>
    </row>
    <row r="16" spans="1:15">
      <c r="A16" s="22" t="s">
        <v>137</v>
      </c>
      <c r="B16" s="40">
        <f ca="1">B12*0.03*Main!$B$10</f>
        <v>21.384</v>
      </c>
      <c r="C16" s="22" t="s">
        <v>135</v>
      </c>
      <c r="D16" s="12"/>
      <c r="E16" s="22" t="s">
        <v>132</v>
      </c>
      <c r="F16" s="40">
        <f ca="1">IF(B13=0,0,SUM(B14:B19)/B13)</f>
        <v>1.535892564974936</v>
      </c>
      <c r="G16" s="22" t="s">
        <v>133</v>
      </c>
      <c r="H16" s="22" t="s">
        <v>1</v>
      </c>
      <c r="I16" s="22" t="s">
        <v>19</v>
      </c>
      <c r="J16" s="12"/>
    </row>
    <row r="17" spans="1:10">
      <c r="A17" s="22" t="s">
        <v>139</v>
      </c>
      <c r="B17" s="40">
        <f ca="1">B12*B9</f>
        <v>18532.800000000003</v>
      </c>
      <c r="C17" s="22" t="s">
        <v>135</v>
      </c>
      <c r="D17" s="12"/>
      <c r="E17" s="12"/>
      <c r="F17" s="12"/>
      <c r="G17" s="12"/>
      <c r="H17" s="22" t="s">
        <v>141</v>
      </c>
      <c r="I17" s="22" t="s">
        <v>187</v>
      </c>
      <c r="J17" s="12"/>
    </row>
    <row r="18" spans="1:10">
      <c r="A18" s="22" t="s">
        <v>140</v>
      </c>
      <c r="B18" s="40">
        <f>800000*Main!$B$14/12</f>
        <v>2000</v>
      </c>
      <c r="C18" s="22" t="s">
        <v>135</v>
      </c>
      <c r="D18" s="12"/>
      <c r="E18" s="12"/>
      <c r="F18" s="12"/>
      <c r="G18" s="12"/>
      <c r="H18" s="22" t="s">
        <v>188</v>
      </c>
      <c r="I18" s="22" t="s">
        <v>189</v>
      </c>
      <c r="J18" s="12"/>
    </row>
    <row r="19" spans="1:10">
      <c r="A19" s="22" t="s">
        <v>143</v>
      </c>
      <c r="B19" s="40">
        <f>800000/Main!$B$15</f>
        <v>13333.333333333334</v>
      </c>
      <c r="C19" s="22" t="s">
        <v>135</v>
      </c>
      <c r="D19" s="12"/>
      <c r="E19" s="12"/>
      <c r="F19" s="12"/>
      <c r="G19" s="12"/>
      <c r="H19" s="22" t="s">
        <v>144</v>
      </c>
      <c r="I19" s="22" t="s">
        <v>190</v>
      </c>
      <c r="J19" s="12"/>
    </row>
    <row r="20" spans="1:10">
      <c r="A20" s="12"/>
      <c r="B20" s="12"/>
      <c r="C20" s="12"/>
      <c r="D20" s="12"/>
      <c r="E20" s="12"/>
      <c r="F20" s="12"/>
      <c r="G20" s="12"/>
      <c r="H20" s="22" t="s">
        <v>149</v>
      </c>
      <c r="I20" s="22" t="s">
        <v>191</v>
      </c>
      <c r="J20" s="12"/>
    </row>
    <row r="21" spans="1:10">
      <c r="A21" s="12"/>
      <c r="B21" s="12"/>
      <c r="C21" s="12"/>
      <c r="D21" s="12"/>
      <c r="E21" s="12"/>
      <c r="F21" s="12"/>
      <c r="G21" s="12"/>
      <c r="H21" s="22" t="s">
        <v>86</v>
      </c>
      <c r="I21" s="22" t="s">
        <v>192</v>
      </c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3285927915285"/>
  </sheetPr>
  <dimension ref="A1:O21"/>
  <sheetViews>
    <sheetView workbookViewId="0">
      <selection activeCell="B18" sqref="B18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  <col min="14" max="14" width="18.140625" customWidth="1"/>
  </cols>
  <sheetData>
    <row r="1" spans="1:15">
      <c r="A1" s="50" t="s">
        <v>21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194</v>
      </c>
      <c r="B4" s="32">
        <f>IF(OR(F9="NA",F9="",NOT(ISNUMBER(F9))),0.9,F9)</f>
        <v>0.9</v>
      </c>
      <c r="C4" s="1" t="s">
        <v>104</v>
      </c>
      <c r="E4" s="1" t="s">
        <v>97</v>
      </c>
      <c r="F4" s="38">
        <v>2</v>
      </c>
      <c r="G4" s="1" t="s">
        <v>98</v>
      </c>
      <c r="K4" s="8" t="s">
        <v>171</v>
      </c>
      <c r="L4" s="28" t="s">
        <v>92</v>
      </c>
      <c r="M4" s="13">
        <v>0.68</v>
      </c>
      <c r="N4" s="27" t="s">
        <v>195</v>
      </c>
      <c r="O4" s="5" t="s">
        <v>94</v>
      </c>
    </row>
    <row r="5" spans="1:15">
      <c r="A5" s="1" t="s">
        <v>196</v>
      </c>
      <c r="B5" s="32">
        <f>IF(OR(F10="NA",F10="",NOT(ISNUMBER(F10))),0.12,F10)</f>
        <v>0.12</v>
      </c>
      <c r="C5" s="1" t="s">
        <v>197</v>
      </c>
      <c r="E5" s="1" t="s">
        <v>105</v>
      </c>
      <c r="F5" s="38">
        <f>Main!$B$19</f>
        <v>17250</v>
      </c>
      <c r="G5" s="1" t="s">
        <v>72</v>
      </c>
      <c r="K5" s="8" t="s">
        <v>175</v>
      </c>
      <c r="L5" s="28" t="s">
        <v>100</v>
      </c>
      <c r="M5" s="13">
        <v>0.92</v>
      </c>
      <c r="N5" s="27" t="s">
        <v>198</v>
      </c>
      <c r="O5" s="5" t="s">
        <v>102</v>
      </c>
    </row>
    <row r="6" spans="1:15">
      <c r="A6" s="1" t="s">
        <v>122</v>
      </c>
      <c r="B6" s="32">
        <f>Main!$B$8*F6</f>
        <v>257.40000000000003</v>
      </c>
      <c r="C6" s="1" t="s">
        <v>123</v>
      </c>
      <c r="E6" s="1" t="s">
        <v>183</v>
      </c>
      <c r="F6" s="38">
        <v>0.65</v>
      </c>
      <c r="G6" s="1" t="s">
        <v>113</v>
      </c>
      <c r="K6" s="8" t="s">
        <v>178</v>
      </c>
      <c r="L6" s="28" t="s">
        <v>107</v>
      </c>
      <c r="M6" s="8">
        <f>M4*M5</f>
        <v>0.62560000000000004</v>
      </c>
      <c r="N6" s="27" t="s">
        <v>108</v>
      </c>
      <c r="O6" s="5" t="s">
        <v>109</v>
      </c>
    </row>
    <row r="7" spans="1:15">
      <c r="A7" s="1" t="s">
        <v>199</v>
      </c>
      <c r="B7" s="32">
        <f>B4*60*B6</f>
        <v>13899.600000000002</v>
      </c>
      <c r="C7" s="1" t="s">
        <v>126</v>
      </c>
      <c r="E7" s="1" t="s">
        <v>120</v>
      </c>
      <c r="F7" s="38">
        <v>1</v>
      </c>
      <c r="G7" s="1" t="s">
        <v>121</v>
      </c>
      <c r="K7" s="8" t="s">
        <v>181</v>
      </c>
      <c r="M7" s="11">
        <f>SUM(M4:M6)</f>
        <v>2.2256</v>
      </c>
    </row>
    <row r="8" spans="1:15">
      <c r="A8" s="1" t="s">
        <v>130</v>
      </c>
      <c r="B8" s="32">
        <f>2*B7/B5*$M$6</f>
        <v>144926.49600000004</v>
      </c>
      <c r="C8" s="1" t="s">
        <v>131</v>
      </c>
      <c r="E8" s="1" t="s">
        <v>124</v>
      </c>
      <c r="F8" s="38">
        <v>1</v>
      </c>
      <c r="G8" s="1" t="s">
        <v>121</v>
      </c>
      <c r="K8" s="9" t="s">
        <v>92</v>
      </c>
      <c r="M8" s="5">
        <f>M4*M5*M6</f>
        <v>0.39137536000000006</v>
      </c>
      <c r="N8" s="5" t="s">
        <v>115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200</v>
      </c>
      <c r="F9" s="38" t="s">
        <v>90</v>
      </c>
      <c r="G9" s="1" t="s">
        <v>104</v>
      </c>
      <c r="K9" s="8" t="s">
        <v>185</v>
      </c>
      <c r="M9" s="30">
        <f>M4*Main!$B$19 + M5*Main!$B$20 + M6*Main!$B$21</f>
        <v>43746</v>
      </c>
      <c r="N9" s="9" t="s">
        <v>72</v>
      </c>
    </row>
    <row r="10" spans="1:15">
      <c r="A10" s="1" t="s">
        <v>136</v>
      </c>
      <c r="B10" s="32">
        <f>B6*95*Main!$B$9*F7</f>
        <v>122265.00000000001</v>
      </c>
      <c r="C10" s="1" t="s">
        <v>135</v>
      </c>
      <c r="E10" s="1" t="s">
        <v>201</v>
      </c>
      <c r="F10" s="38" t="s">
        <v>90</v>
      </c>
      <c r="G10" s="1" t="s">
        <v>197</v>
      </c>
    </row>
    <row r="11" spans="1:15">
      <c r="A11" s="1" t="s">
        <v>202</v>
      </c>
      <c r="B11" s="32">
        <f>B7*35*F8</f>
        <v>486486.00000000006</v>
      </c>
      <c r="C11" s="1" t="s">
        <v>135</v>
      </c>
      <c r="F11" s="39"/>
    </row>
    <row r="12" spans="1:15">
      <c r="A12" s="1" t="s">
        <v>140</v>
      </c>
      <c r="B12" s="32">
        <f>9500000*Main!$B$14/12</f>
        <v>23750</v>
      </c>
      <c r="C12" s="1" t="s">
        <v>135</v>
      </c>
      <c r="E12" s="1" t="s">
        <v>203</v>
      </c>
      <c r="F12" s="40">
        <f>IF(B7=0,0,SUM(B9:B13)/B7)</f>
        <v>59.378279470872059</v>
      </c>
      <c r="G12" s="1" t="s">
        <v>11</v>
      </c>
    </row>
    <row r="13" spans="1:15">
      <c r="A13" s="1" t="s">
        <v>143</v>
      </c>
      <c r="B13" s="32">
        <f>9500000/Main!$B$15</f>
        <v>158333.33333333334</v>
      </c>
      <c r="C13" s="1" t="s">
        <v>135</v>
      </c>
      <c r="E13" s="1" t="s">
        <v>132</v>
      </c>
      <c r="F13" s="40">
        <f>IF(B8=0,0,SUM(B9:B13)/B8)</f>
        <v>5.6948477753393911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204</v>
      </c>
    </row>
    <row r="17" spans="8:9">
      <c r="H17" s="1" t="s">
        <v>141</v>
      </c>
      <c r="I17" s="1" t="s">
        <v>205</v>
      </c>
    </row>
    <row r="18" spans="8:9">
      <c r="H18" s="1" t="s">
        <v>206</v>
      </c>
      <c r="I18" s="1" t="s">
        <v>207</v>
      </c>
    </row>
    <row r="19" spans="8:9">
      <c r="H19" s="1" t="s">
        <v>208</v>
      </c>
      <c r="I19" s="1" t="s">
        <v>209</v>
      </c>
    </row>
    <row r="20" spans="8:9">
      <c r="H20" s="1" t="s">
        <v>210</v>
      </c>
      <c r="I20" s="1" t="s">
        <v>211</v>
      </c>
    </row>
    <row r="21" spans="8:9">
      <c r="H21" s="1" t="s">
        <v>212</v>
      </c>
      <c r="I21" s="1" t="s">
        <v>213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59993285927915285"/>
  </sheetPr>
  <dimension ref="A1:O21"/>
  <sheetViews>
    <sheetView workbookViewId="0">
      <selection activeCell="F12" sqref="F12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25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214</v>
      </c>
      <c r="B4" s="32">
        <f>IF(OR(F9="NA",F9="",NOT(ISNUMBER(F9))),AVERAGE(Lookups!$P$3:$P$11),F9)</f>
        <v>25.333333333333332</v>
      </c>
      <c r="C4" s="1" t="s">
        <v>88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0.82</v>
      </c>
      <c r="N4" s="27" t="s">
        <v>215</v>
      </c>
      <c r="O4" s="5" t="s">
        <v>94</v>
      </c>
    </row>
    <row r="5" spans="1:15">
      <c r="A5" s="1" t="s">
        <v>216</v>
      </c>
      <c r="B5" s="32">
        <f>INDEX(Lookups!$Q$3:$Q$11,MATCH(B4,Lookups!$P$3:$P$11,1))</f>
        <v>19</v>
      </c>
      <c r="C5" s="1" t="s">
        <v>217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0.95</v>
      </c>
      <c r="N5" s="27" t="s">
        <v>218</v>
      </c>
      <c r="O5" s="5" t="s">
        <v>102</v>
      </c>
    </row>
    <row r="6" spans="1:15">
      <c r="A6" s="1" t="s">
        <v>122</v>
      </c>
      <c r="B6" s="32">
        <f>Main!$B$8*F6</f>
        <v>257.40000000000003</v>
      </c>
      <c r="C6" s="1" t="s">
        <v>123</v>
      </c>
      <c r="E6" s="1" t="s">
        <v>183</v>
      </c>
      <c r="F6" s="37">
        <v>0.65</v>
      </c>
      <c r="G6" s="1" t="s">
        <v>113</v>
      </c>
      <c r="K6" s="8" t="s">
        <v>178</v>
      </c>
      <c r="L6" s="28" t="s">
        <v>107</v>
      </c>
      <c r="M6" s="8">
        <f>M4*M5</f>
        <v>0.77899999999999991</v>
      </c>
      <c r="N6" s="27" t="s">
        <v>108</v>
      </c>
      <c r="O6" s="5" t="s">
        <v>109</v>
      </c>
    </row>
    <row r="7" spans="1:15">
      <c r="A7" s="1" t="s">
        <v>219</v>
      </c>
      <c r="B7" s="32">
        <f>3600/B5*B6</f>
        <v>48770.526315789481</v>
      </c>
      <c r="C7" s="1" t="s">
        <v>220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221</v>
      </c>
      <c r="B8" s="32">
        <v>0.35</v>
      </c>
      <c r="C8" s="1" t="s">
        <v>222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130</v>
      </c>
      <c r="B9" s="32">
        <f>B7*B8</f>
        <v>17069.684210526317</v>
      </c>
      <c r="C9" s="1" t="s">
        <v>131</v>
      </c>
      <c r="E9" s="1" t="s">
        <v>223</v>
      </c>
      <c r="F9" s="37" t="s">
        <v>90</v>
      </c>
      <c r="G9" s="1" t="s">
        <v>88</v>
      </c>
    </row>
    <row r="10" spans="1:15">
      <c r="A10" s="1" t="s">
        <v>134</v>
      </c>
      <c r="B10" s="32">
        <f>IF(OR(F4="NA",F4="",NOT(ISNUMBER(F4))),3,F4)*F5</f>
        <v>34500</v>
      </c>
      <c r="C10" s="1" t="s">
        <v>135</v>
      </c>
      <c r="F10" s="35"/>
    </row>
    <row r="11" spans="1:15">
      <c r="A11" s="1" t="s">
        <v>136</v>
      </c>
      <c r="B11" s="32">
        <f>B6*10*Main!$B$9*F7</f>
        <v>12870.000000000002</v>
      </c>
      <c r="C11" s="1" t="s">
        <v>135</v>
      </c>
      <c r="F11" s="35"/>
    </row>
    <row r="12" spans="1:15">
      <c r="A12" s="1" t="s">
        <v>224</v>
      </c>
      <c r="B12" s="32">
        <f>B7*2.5*F8</f>
        <v>121926.31578947371</v>
      </c>
      <c r="C12" s="1" t="s">
        <v>135</v>
      </c>
      <c r="E12" s="1" t="s">
        <v>225</v>
      </c>
      <c r="F12" s="32">
        <f>IF(B7=0,0,SUM(B10:B14)/B7)</f>
        <v>3.8642802670580445</v>
      </c>
      <c r="G12" s="1" t="s">
        <v>27</v>
      </c>
    </row>
    <row r="13" spans="1:15">
      <c r="A13" s="1" t="s">
        <v>140</v>
      </c>
      <c r="B13" s="32">
        <f>1000000*Main!$B$14/12</f>
        <v>2500</v>
      </c>
      <c r="C13" s="1" t="s">
        <v>135</v>
      </c>
      <c r="E13" s="1" t="s">
        <v>132</v>
      </c>
      <c r="F13" s="32">
        <f>IF(B9=0,0,SUM(B10:B14)/B9)</f>
        <v>11.040800763022986</v>
      </c>
      <c r="G13" s="1" t="s">
        <v>133</v>
      </c>
    </row>
    <row r="14" spans="1:15">
      <c r="A14" s="1" t="s">
        <v>143</v>
      </c>
      <c r="B14" s="32">
        <f>1000000/Main!$B$15</f>
        <v>16666.666666666668</v>
      </c>
      <c r="C14" s="1" t="s">
        <v>135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226</v>
      </c>
    </row>
    <row r="17" spans="8:9">
      <c r="H17" s="1" t="s">
        <v>141</v>
      </c>
      <c r="I17" s="1" t="s">
        <v>227</v>
      </c>
    </row>
    <row r="18" spans="8:9">
      <c r="H18" s="1" t="s">
        <v>228</v>
      </c>
      <c r="I18" s="1" t="s">
        <v>229</v>
      </c>
    </row>
    <row r="19" spans="8:9">
      <c r="H19" s="1" t="s">
        <v>223</v>
      </c>
      <c r="I19" s="1" t="s">
        <v>230</v>
      </c>
    </row>
    <row r="20" spans="8:9">
      <c r="H20" s="1" t="s">
        <v>231</v>
      </c>
      <c r="I20" s="1" t="s">
        <v>232</v>
      </c>
    </row>
    <row r="21" spans="8:9">
      <c r="H21" s="1" t="s">
        <v>233</v>
      </c>
      <c r="I21" s="1" t="s">
        <v>234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O21"/>
  <sheetViews>
    <sheetView workbookViewId="0">
      <selection activeCell="F13" sqref="F13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29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235</v>
      </c>
      <c r="B4" s="32">
        <f>IF(OR(F9="NA",F9="",NOT(ISNUMBER(F9))),45,F9)</f>
        <v>45</v>
      </c>
      <c r="C4" s="1" t="s">
        <v>236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0.7</v>
      </c>
      <c r="N4" s="27" t="s">
        <v>237</v>
      </c>
      <c r="O4" s="5" t="s">
        <v>94</v>
      </c>
    </row>
    <row r="5" spans="1:15">
      <c r="A5" s="1" t="s">
        <v>122</v>
      </c>
      <c r="B5" s="32">
        <f>Main!$B$8*F6</f>
        <v>277.2</v>
      </c>
      <c r="C5" s="1" t="s">
        <v>123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0.8</v>
      </c>
      <c r="N5" s="27" t="s">
        <v>238</v>
      </c>
      <c r="O5" s="5" t="s">
        <v>102</v>
      </c>
    </row>
    <row r="6" spans="1:15">
      <c r="A6" s="1" t="s">
        <v>239</v>
      </c>
      <c r="B6" s="32">
        <f>3600/B4*B5</f>
        <v>22176</v>
      </c>
      <c r="C6" s="1" t="s">
        <v>240</v>
      </c>
      <c r="E6" s="1" t="s">
        <v>183</v>
      </c>
      <c r="F6" s="37">
        <v>0.7</v>
      </c>
      <c r="G6" s="1" t="s">
        <v>113</v>
      </c>
      <c r="K6" s="8" t="s">
        <v>178</v>
      </c>
      <c r="L6" s="28" t="s">
        <v>107</v>
      </c>
      <c r="M6" s="8">
        <f>M4*M5</f>
        <v>0.55999999999999994</v>
      </c>
      <c r="N6" s="27" t="s">
        <v>108</v>
      </c>
      <c r="O6" s="5" t="s">
        <v>109</v>
      </c>
    </row>
    <row r="7" spans="1:15">
      <c r="A7" s="1" t="s">
        <v>241</v>
      </c>
      <c r="B7" s="32">
        <f>IF(OR(F10="NA",F10="",NOT(ISNUMBER(F10))),18,F10)</f>
        <v>18</v>
      </c>
      <c r="C7" s="1" t="s">
        <v>242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130</v>
      </c>
      <c r="B8" s="32">
        <f>B6*B7</f>
        <v>399168</v>
      </c>
      <c r="C8" s="1" t="s">
        <v>131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243</v>
      </c>
      <c r="F9" s="37" t="s">
        <v>90</v>
      </c>
      <c r="G9" s="1" t="s">
        <v>236</v>
      </c>
    </row>
    <row r="10" spans="1:15">
      <c r="A10" s="1" t="s">
        <v>136</v>
      </c>
      <c r="B10" s="32">
        <f>B5*22*Main!$B$9*F7</f>
        <v>30492</v>
      </c>
      <c r="C10" s="1" t="s">
        <v>135</v>
      </c>
      <c r="E10" s="1" t="s">
        <v>244</v>
      </c>
      <c r="F10" s="37" t="s">
        <v>90</v>
      </c>
      <c r="G10" s="1" t="s">
        <v>242</v>
      </c>
    </row>
    <row r="11" spans="1:15">
      <c r="A11" s="1" t="s">
        <v>245</v>
      </c>
      <c r="B11" s="32">
        <f>B6*4*F8</f>
        <v>88704</v>
      </c>
      <c r="C11" s="1" t="s">
        <v>135</v>
      </c>
      <c r="F11" s="35"/>
    </row>
    <row r="12" spans="1:15">
      <c r="A12" s="1" t="s">
        <v>140</v>
      </c>
      <c r="B12" s="32">
        <f>2200000*Main!$B$14/12</f>
        <v>5500</v>
      </c>
      <c r="C12" s="1" t="s">
        <v>135</v>
      </c>
      <c r="E12" s="1" t="s">
        <v>246</v>
      </c>
      <c r="F12" s="32">
        <f>IF(B6=0,0,SUM(B9:B13)/B6)</f>
        <v>8.8321909571909565</v>
      </c>
      <c r="G12" s="1" t="s">
        <v>31</v>
      </c>
    </row>
    <row r="13" spans="1:15">
      <c r="A13" s="1" t="s">
        <v>143</v>
      </c>
      <c r="B13" s="32">
        <f>2200000/Main!$B$15</f>
        <v>36666.666666666664</v>
      </c>
      <c r="C13" s="1" t="s">
        <v>135</v>
      </c>
      <c r="E13" s="1" t="s">
        <v>132</v>
      </c>
      <c r="F13" s="32">
        <f>IF(B8=0,0,SUM(B9:B13)/B8)</f>
        <v>0.49067727539949757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29</v>
      </c>
    </row>
    <row r="17" spans="8:9">
      <c r="H17" s="1" t="s">
        <v>141</v>
      </c>
      <c r="I17" s="1" t="s">
        <v>247</v>
      </c>
    </row>
    <row r="18" spans="8:9">
      <c r="H18" s="1" t="s">
        <v>248</v>
      </c>
      <c r="I18" s="1" t="s">
        <v>249</v>
      </c>
    </row>
    <row r="19" spans="8:9">
      <c r="H19" s="1" t="s">
        <v>149</v>
      </c>
      <c r="I19" s="1" t="s">
        <v>250</v>
      </c>
    </row>
    <row r="20" spans="8:9">
      <c r="H20" s="1" t="s">
        <v>144</v>
      </c>
      <c r="I20" s="1" t="s">
        <v>251</v>
      </c>
    </row>
    <row r="21" spans="8:9">
      <c r="H21" s="1" t="s">
        <v>252</v>
      </c>
      <c r="I21" s="1" t="s">
        <v>253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O21"/>
  <sheetViews>
    <sheetView workbookViewId="0">
      <selection activeCell="F13" sqref="F13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33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235</v>
      </c>
      <c r="B4" s="32">
        <f>IF(OR(F9="NA",F9="",NOT(ISNUMBER(F9))),20,F9)</f>
        <v>20</v>
      </c>
      <c r="C4" s="1" t="s">
        <v>236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0.72</v>
      </c>
      <c r="N4" s="27" t="s">
        <v>254</v>
      </c>
      <c r="O4" s="5" t="s">
        <v>94</v>
      </c>
    </row>
    <row r="5" spans="1:15">
      <c r="A5" s="1" t="s">
        <v>122</v>
      </c>
      <c r="B5" s="32">
        <f>Main!$B$8*F6</f>
        <v>297</v>
      </c>
      <c r="C5" s="1" t="s">
        <v>123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0.82</v>
      </c>
      <c r="N5" s="27" t="s">
        <v>255</v>
      </c>
      <c r="O5" s="5" t="s">
        <v>102</v>
      </c>
    </row>
    <row r="6" spans="1:15">
      <c r="A6" s="1" t="s">
        <v>239</v>
      </c>
      <c r="B6" s="32">
        <f>3600/B4*B5</f>
        <v>53460</v>
      </c>
      <c r="C6" s="1" t="s">
        <v>240</v>
      </c>
      <c r="E6" s="1" t="s">
        <v>183</v>
      </c>
      <c r="F6" s="37">
        <v>0.75</v>
      </c>
      <c r="G6" s="1" t="s">
        <v>113</v>
      </c>
      <c r="K6" s="8" t="s">
        <v>178</v>
      </c>
      <c r="L6" s="28" t="s">
        <v>107</v>
      </c>
      <c r="M6" s="8">
        <f>M4*M5</f>
        <v>0.59039999999999992</v>
      </c>
      <c r="N6" s="27" t="s">
        <v>108</v>
      </c>
      <c r="O6" s="5" t="s">
        <v>109</v>
      </c>
    </row>
    <row r="7" spans="1:15">
      <c r="A7" s="1" t="s">
        <v>241</v>
      </c>
      <c r="B7" s="32">
        <f>IF(OR(F10="NA",F10="",NOT(ISNUMBER(F10))),6,F10)</f>
        <v>6</v>
      </c>
      <c r="C7" s="1" t="s">
        <v>242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130</v>
      </c>
      <c r="B8" s="32">
        <f>B6*B7</f>
        <v>320760</v>
      </c>
      <c r="C8" s="1" t="s">
        <v>131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243</v>
      </c>
      <c r="F9" s="37" t="s">
        <v>90</v>
      </c>
      <c r="G9" s="1" t="s">
        <v>236</v>
      </c>
    </row>
    <row r="10" spans="1:15">
      <c r="A10" s="1" t="s">
        <v>136</v>
      </c>
      <c r="B10" s="32">
        <f>B5*7.5*Main!$B$9*F7</f>
        <v>11137.5</v>
      </c>
      <c r="C10" s="1" t="s">
        <v>135</v>
      </c>
      <c r="E10" s="1" t="s">
        <v>244</v>
      </c>
      <c r="F10" s="37" t="s">
        <v>90</v>
      </c>
      <c r="G10" s="1" t="s">
        <v>242</v>
      </c>
    </row>
    <row r="11" spans="1:15">
      <c r="A11" s="1" t="s">
        <v>256</v>
      </c>
      <c r="B11" s="32">
        <f>B6*1.5*F8</f>
        <v>80190</v>
      </c>
      <c r="C11" s="1" t="s">
        <v>135</v>
      </c>
      <c r="F11" s="35"/>
    </row>
    <row r="12" spans="1:15">
      <c r="A12" s="1" t="s">
        <v>140</v>
      </c>
      <c r="B12" s="32">
        <f>750000*Main!$B$14/12</f>
        <v>1875</v>
      </c>
      <c r="C12" s="1" t="s">
        <v>135</v>
      </c>
      <c r="E12" s="1" t="s">
        <v>246</v>
      </c>
      <c r="F12" s="32">
        <f>IF(B6=0,0,SUM(B9:B13)/B6)</f>
        <v>2.6225682753460533</v>
      </c>
      <c r="G12" s="1" t="s">
        <v>31</v>
      </c>
    </row>
    <row r="13" spans="1:15">
      <c r="A13" s="1" t="s">
        <v>143</v>
      </c>
      <c r="B13" s="32">
        <f>750000/Main!$B$15</f>
        <v>12500</v>
      </c>
      <c r="C13" s="1" t="s">
        <v>135</v>
      </c>
      <c r="E13" s="1" t="s">
        <v>132</v>
      </c>
      <c r="F13" s="32">
        <f>IF(B8=0,0,SUM(B9:B13)/B8)</f>
        <v>0.43709471255767551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33</v>
      </c>
    </row>
    <row r="17" spans="8:9">
      <c r="H17" s="1" t="s">
        <v>141</v>
      </c>
      <c r="I17" s="1" t="s">
        <v>257</v>
      </c>
    </row>
    <row r="18" spans="8:9">
      <c r="H18" s="1" t="s">
        <v>258</v>
      </c>
      <c r="I18" s="1" t="s">
        <v>259</v>
      </c>
    </row>
    <row r="19" spans="8:9">
      <c r="H19" s="1" t="s">
        <v>260</v>
      </c>
      <c r="I19" s="1" t="s">
        <v>261</v>
      </c>
    </row>
    <row r="20" spans="8:9">
      <c r="H20" s="1" t="s">
        <v>231</v>
      </c>
      <c r="I20" s="1" t="s">
        <v>262</v>
      </c>
    </row>
    <row r="21" spans="8:9">
      <c r="H21" s="1" t="s">
        <v>263</v>
      </c>
      <c r="I21" s="1" t="s">
        <v>264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O21"/>
  <sheetViews>
    <sheetView workbookViewId="0">
      <selection activeCell="F13" sqref="F13"/>
    </sheetView>
  </sheetViews>
  <sheetFormatPr defaultRowHeight="14.45"/>
  <cols>
    <col min="1" max="1" width="30" customWidth="1"/>
    <col min="2" max="2" width="18" customWidth="1"/>
    <col min="3" max="3" width="14" customWidth="1"/>
    <col min="4" max="4" width="4" customWidth="1"/>
    <col min="5" max="6" width="18" customWidth="1"/>
    <col min="7" max="7" width="12" customWidth="1"/>
    <col min="8" max="8" width="24" customWidth="1"/>
    <col min="9" max="10" width="16" customWidth="1"/>
    <col min="11" max="11" width="20" customWidth="1"/>
    <col min="12" max="12" width="16" customWidth="1"/>
    <col min="13" max="13" width="12" customWidth="1"/>
  </cols>
  <sheetData>
    <row r="1" spans="1:15">
      <c r="A1" s="50" t="s">
        <v>35</v>
      </c>
      <c r="B1" s="54"/>
      <c r="C1" s="54"/>
      <c r="D1" s="54"/>
      <c r="E1" s="54"/>
      <c r="F1" s="55"/>
    </row>
    <row r="3" spans="1:15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  <c r="K3" s="10" t="s">
        <v>166</v>
      </c>
      <c r="L3" s="26" t="s">
        <v>85</v>
      </c>
      <c r="M3" s="26" t="s">
        <v>82</v>
      </c>
      <c r="N3" s="26" t="s">
        <v>86</v>
      </c>
      <c r="O3" s="6" t="s">
        <v>86</v>
      </c>
    </row>
    <row r="4" spans="1:15">
      <c r="A4" s="1" t="s">
        <v>265</v>
      </c>
      <c r="B4" s="32">
        <f>IF(OR(F9="NA",F9="",NOT(ISNUMBER(F9))),18,F9)</f>
        <v>18</v>
      </c>
      <c r="C4" s="1" t="s">
        <v>104</v>
      </c>
      <c r="E4" s="1" t="s">
        <v>97</v>
      </c>
      <c r="F4" s="37">
        <v>2</v>
      </c>
      <c r="G4" s="1" t="s">
        <v>98</v>
      </c>
      <c r="K4" s="8" t="s">
        <v>171</v>
      </c>
      <c r="L4" s="28" t="s">
        <v>92</v>
      </c>
      <c r="M4" s="13">
        <v>0.55000000000000004</v>
      </c>
      <c r="N4" s="27" t="s">
        <v>266</v>
      </c>
      <c r="O4" s="5" t="s">
        <v>94</v>
      </c>
    </row>
    <row r="5" spans="1:15">
      <c r="A5" s="1" t="s">
        <v>267</v>
      </c>
      <c r="B5" s="32">
        <f>IF(OR(F10="NA",F10="",NOT(ISNUMBER(F10))),0.06,F10)</f>
        <v>0.06</v>
      </c>
      <c r="C5" s="1" t="s">
        <v>197</v>
      </c>
      <c r="E5" s="1" t="s">
        <v>105</v>
      </c>
      <c r="F5" s="37">
        <f>Main!$B$19</f>
        <v>17250</v>
      </c>
      <c r="G5" s="1" t="s">
        <v>72</v>
      </c>
      <c r="K5" s="8" t="s">
        <v>175</v>
      </c>
      <c r="L5" s="28" t="s">
        <v>100</v>
      </c>
      <c r="M5" s="13">
        <v>0.4</v>
      </c>
      <c r="N5" s="27" t="s">
        <v>268</v>
      </c>
      <c r="O5" s="5" t="s">
        <v>102</v>
      </c>
    </row>
    <row r="6" spans="1:15">
      <c r="A6" s="1" t="s">
        <v>122</v>
      </c>
      <c r="B6" s="32">
        <f>Main!$B$8*F6</f>
        <v>277.2</v>
      </c>
      <c r="C6" s="1" t="s">
        <v>123</v>
      </c>
      <c r="E6" s="1" t="s">
        <v>183</v>
      </c>
      <c r="F6" s="37">
        <v>0.7</v>
      </c>
      <c r="G6" s="1" t="s">
        <v>113</v>
      </c>
      <c r="K6" s="8" t="s">
        <v>178</v>
      </c>
      <c r="L6" s="28" t="s">
        <v>107</v>
      </c>
      <c r="M6" s="8">
        <f>M4*M5</f>
        <v>0.22000000000000003</v>
      </c>
      <c r="N6" s="27" t="s">
        <v>108</v>
      </c>
      <c r="O6" s="5" t="s">
        <v>109</v>
      </c>
    </row>
    <row r="7" spans="1:15">
      <c r="A7" s="1" t="s">
        <v>125</v>
      </c>
      <c r="B7" s="32">
        <f>B4*60*B6/6</f>
        <v>49896</v>
      </c>
      <c r="C7" s="1" t="s">
        <v>126</v>
      </c>
      <c r="E7" s="1" t="s">
        <v>120</v>
      </c>
      <c r="F7" s="37">
        <v>1</v>
      </c>
      <c r="G7" s="1" t="s">
        <v>121</v>
      </c>
      <c r="K7" s="8" t="s">
        <v>181</v>
      </c>
      <c r="L7" s="11">
        <f>SUM(L4:L6)</f>
        <v>0</v>
      </c>
      <c r="M7" s="9" t="s">
        <v>92</v>
      </c>
      <c r="N7" s="5" t="e">
        <f>N4*N5*N6</f>
        <v>#VALUE!</v>
      </c>
      <c r="O7" s="5" t="s">
        <v>115</v>
      </c>
    </row>
    <row r="8" spans="1:15">
      <c r="A8" s="1" t="s">
        <v>130</v>
      </c>
      <c r="B8" s="32">
        <f>B7/B5*$M$6</f>
        <v>182952.00000000003</v>
      </c>
      <c r="C8" s="1" t="s">
        <v>131</v>
      </c>
      <c r="E8" s="1" t="s">
        <v>124</v>
      </c>
      <c r="F8" s="37">
        <v>1</v>
      </c>
      <c r="G8" s="1" t="s">
        <v>121</v>
      </c>
      <c r="K8" s="8" t="s">
        <v>185</v>
      </c>
      <c r="L8" s="9" t="e">
        <f>L4*Main!$B$19 + L5*Main!$B$20 + L6*Main!$B$21</f>
        <v>#VALUE!</v>
      </c>
      <c r="M8" s="9" t="s">
        <v>72</v>
      </c>
    </row>
    <row r="9" spans="1:15">
      <c r="A9" s="1" t="s">
        <v>134</v>
      </c>
      <c r="B9" s="32">
        <f>IF(OR(F4="NA",F4="",NOT(ISNUMBER(F4))),3,F4)*F5</f>
        <v>34500</v>
      </c>
      <c r="C9" s="1" t="s">
        <v>135</v>
      </c>
      <c r="E9" s="1" t="s">
        <v>269</v>
      </c>
      <c r="F9" s="37" t="s">
        <v>90</v>
      </c>
      <c r="G9" s="1" t="s">
        <v>104</v>
      </c>
    </row>
    <row r="10" spans="1:15">
      <c r="A10" s="1" t="s">
        <v>136</v>
      </c>
      <c r="B10" s="32">
        <f>B6*22*Main!$B$9*F7</f>
        <v>30492</v>
      </c>
      <c r="C10" s="1" t="s">
        <v>135</v>
      </c>
      <c r="E10" s="1" t="s">
        <v>270</v>
      </c>
      <c r="F10" s="37" t="s">
        <v>90</v>
      </c>
      <c r="G10" s="1" t="s">
        <v>197</v>
      </c>
    </row>
    <row r="11" spans="1:15">
      <c r="A11" s="1" t="s">
        <v>271</v>
      </c>
      <c r="B11" s="32">
        <f>B7*1.2*F8</f>
        <v>59875.199999999997</v>
      </c>
      <c r="C11" s="1" t="s">
        <v>135</v>
      </c>
      <c r="F11" s="35"/>
    </row>
    <row r="12" spans="1:15">
      <c r="A12" s="1" t="s">
        <v>140</v>
      </c>
      <c r="B12" s="32">
        <f>2200000*Main!$B$14/12</f>
        <v>5500</v>
      </c>
      <c r="C12" s="1" t="s">
        <v>135</v>
      </c>
      <c r="E12" s="1" t="s">
        <v>129</v>
      </c>
      <c r="F12" s="32">
        <f>IF(B7=0,0,SUM(B9:B13)/B7)</f>
        <v>3.3476404254182031</v>
      </c>
      <c r="G12" s="1" t="s">
        <v>11</v>
      </c>
    </row>
    <row r="13" spans="1:15">
      <c r="A13" s="1" t="s">
        <v>143</v>
      </c>
      <c r="B13" s="32">
        <f>2200000/Main!$B$15</f>
        <v>36666.666666666664</v>
      </c>
      <c r="C13" s="1" t="s">
        <v>135</v>
      </c>
      <c r="E13" s="1" t="s">
        <v>132</v>
      </c>
      <c r="F13" s="32">
        <f>IF(B8=0,0,SUM(B9:B13)/B8)</f>
        <v>0.91299284329587349</v>
      </c>
      <c r="G13" s="1" t="s">
        <v>133</v>
      </c>
    </row>
    <row r="15" spans="1:15">
      <c r="H15" s="4" t="s">
        <v>138</v>
      </c>
      <c r="I15" s="4"/>
      <c r="J15" s="4"/>
    </row>
    <row r="16" spans="1:15">
      <c r="H16" s="1" t="s">
        <v>1</v>
      </c>
      <c r="I16" s="1" t="s">
        <v>272</v>
      </c>
    </row>
    <row r="17" spans="8:9">
      <c r="H17" s="1" t="s">
        <v>141</v>
      </c>
      <c r="I17" s="1" t="s">
        <v>273</v>
      </c>
    </row>
    <row r="18" spans="8:9">
      <c r="H18" s="1" t="s">
        <v>208</v>
      </c>
      <c r="I18" s="1" t="s">
        <v>209</v>
      </c>
    </row>
    <row r="19" spans="8:9">
      <c r="H19" s="1" t="s">
        <v>274</v>
      </c>
      <c r="I19" s="1" t="s">
        <v>275</v>
      </c>
    </row>
    <row r="20" spans="8:9">
      <c r="H20" s="1" t="s">
        <v>210</v>
      </c>
      <c r="I20" s="1" t="s">
        <v>276</v>
      </c>
    </row>
    <row r="21" spans="8:9">
      <c r="H21" s="1" t="s">
        <v>260</v>
      </c>
      <c r="I21" s="1" t="s">
        <v>277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</sheetPr>
  <dimension ref="A1:J25"/>
  <sheetViews>
    <sheetView workbookViewId="0">
      <selection activeCell="A3" sqref="A3:B15"/>
    </sheetView>
  </sheetViews>
  <sheetFormatPr defaultRowHeight="14.45"/>
  <cols>
    <col min="1" max="1" width="18.85546875" customWidth="1"/>
    <col min="2" max="2" width="14.5703125" customWidth="1"/>
    <col min="3" max="3" width="9.28515625" customWidth="1"/>
    <col min="5" max="5" width="16.7109375" customWidth="1"/>
    <col min="6" max="6" width="12" customWidth="1"/>
    <col min="7" max="7" width="10.42578125" customWidth="1"/>
    <col min="9" max="9" width="19.140625" customWidth="1"/>
    <col min="10" max="10" width="26.85546875" customWidth="1"/>
  </cols>
  <sheetData>
    <row r="1" spans="1:10">
      <c r="A1" s="50" t="s">
        <v>37</v>
      </c>
      <c r="B1" s="54"/>
      <c r="C1" s="54"/>
      <c r="D1" s="54"/>
      <c r="E1" s="54"/>
      <c r="F1" s="55"/>
      <c r="G1" s="29"/>
    </row>
    <row r="3" spans="1:10">
      <c r="A3" s="3" t="s">
        <v>193</v>
      </c>
      <c r="B3" s="3" t="s">
        <v>82</v>
      </c>
      <c r="C3" s="3" t="s">
        <v>83</v>
      </c>
      <c r="E3" s="3" t="s">
        <v>81</v>
      </c>
      <c r="F3" s="3" t="s">
        <v>82</v>
      </c>
      <c r="G3" s="3" t="s">
        <v>83</v>
      </c>
    </row>
    <row r="4" spans="1:10">
      <c r="A4" t="s">
        <v>179</v>
      </c>
      <c r="B4" s="35">
        <f>IF(OR(F9="NA",F9="",NOT(ISNUMBER(F9))),AVERAGE(8,25),MAX(8,MIN(25,F9)))</f>
        <v>16.5</v>
      </c>
      <c r="C4" t="s">
        <v>88</v>
      </c>
      <c r="E4" t="s">
        <v>97</v>
      </c>
      <c r="F4" s="36">
        <v>1</v>
      </c>
      <c r="G4" t="s">
        <v>98</v>
      </c>
    </row>
    <row r="5" spans="1:10">
      <c r="A5" t="s">
        <v>278</v>
      </c>
      <c r="B5" s="35">
        <f>IF(OR(F10="NA",F10="",NOT(ISNUMBER(F10))),AVERAGE(100,200),MAX(100,MIN(200,F10)))</f>
        <v>150</v>
      </c>
      <c r="C5" t="s">
        <v>88</v>
      </c>
      <c r="E5" t="s">
        <v>105</v>
      </c>
      <c r="F5" s="36">
        <f>Main!B19</f>
        <v>17250</v>
      </c>
      <c r="G5" t="s">
        <v>72</v>
      </c>
    </row>
    <row r="6" spans="1:10">
      <c r="A6" t="s">
        <v>235</v>
      </c>
      <c r="B6" s="35">
        <f>25+(B4-8)*1.6+(B5-100)*0.12</f>
        <v>44.6</v>
      </c>
      <c r="C6" t="s">
        <v>236</v>
      </c>
      <c r="E6" t="s">
        <v>183</v>
      </c>
      <c r="F6" s="36">
        <v>0.8</v>
      </c>
      <c r="G6" t="s">
        <v>113</v>
      </c>
    </row>
    <row r="7" spans="1:10">
      <c r="A7" t="s">
        <v>122</v>
      </c>
      <c r="B7" s="35">
        <f>Main!B8*F6</f>
        <v>316.8</v>
      </c>
      <c r="C7" t="s">
        <v>123</v>
      </c>
      <c r="E7" t="s">
        <v>120</v>
      </c>
      <c r="F7" s="36">
        <v>1</v>
      </c>
      <c r="G7" t="s">
        <v>121</v>
      </c>
    </row>
    <row r="8" spans="1:10">
      <c r="A8" t="s">
        <v>239</v>
      </c>
      <c r="B8" s="35">
        <f>3600/B6*B7</f>
        <v>25571.300448430491</v>
      </c>
      <c r="C8" t="s">
        <v>240</v>
      </c>
      <c r="E8" t="s">
        <v>124</v>
      </c>
      <c r="F8" s="36">
        <v>1</v>
      </c>
      <c r="G8" t="s">
        <v>121</v>
      </c>
    </row>
    <row r="9" spans="1:10">
      <c r="A9" t="s">
        <v>241</v>
      </c>
      <c r="B9" s="35">
        <f>0.006165*B4*B4*(B5/1000)</f>
        <v>0.25176318750000004</v>
      </c>
      <c r="C9" t="s">
        <v>242</v>
      </c>
      <c r="E9" t="s">
        <v>279</v>
      </c>
      <c r="F9" s="36" t="s">
        <v>90</v>
      </c>
      <c r="G9" t="s">
        <v>88</v>
      </c>
    </row>
    <row r="10" spans="1:10">
      <c r="A10" t="s">
        <v>130</v>
      </c>
      <c r="B10" s="35">
        <f>B8*B9</f>
        <v>6437.9121094170405</v>
      </c>
      <c r="C10" t="s">
        <v>131</v>
      </c>
      <c r="E10" t="s">
        <v>280</v>
      </c>
      <c r="F10" s="36" t="s">
        <v>90</v>
      </c>
      <c r="G10" t="s">
        <v>88</v>
      </c>
    </row>
    <row r="11" spans="1:10">
      <c r="A11" t="s">
        <v>134</v>
      </c>
      <c r="B11" s="35">
        <f>F4*F5</f>
        <v>17250</v>
      </c>
      <c r="C11" t="s">
        <v>135</v>
      </c>
      <c r="F11" s="35"/>
    </row>
    <row r="12" spans="1:10">
      <c r="A12" t="s">
        <v>136</v>
      </c>
      <c r="B12" s="35">
        <f>B7*1.14*Main!B9*F7</f>
        <v>1805.76</v>
      </c>
      <c r="C12" t="s">
        <v>135</v>
      </c>
      <c r="E12" t="s">
        <v>246</v>
      </c>
      <c r="F12" s="35">
        <f>IF(B8=0,0,SUM(B10:B15)/B8)</f>
        <v>1.9843487912224094</v>
      </c>
      <c r="G12" t="s">
        <v>31</v>
      </c>
    </row>
    <row r="13" spans="1:10">
      <c r="A13" t="s">
        <v>281</v>
      </c>
      <c r="B13" s="35">
        <f>B8*0.8*F8</f>
        <v>20457.040358744394</v>
      </c>
      <c r="C13" t="s">
        <v>135</v>
      </c>
      <c r="E13" t="s">
        <v>132</v>
      </c>
      <c r="F13" s="35">
        <f>IF(B10=0,0,SUM(B10:B15)/B10)</f>
        <v>7.8818067523172317</v>
      </c>
      <c r="G13" t="s">
        <v>133</v>
      </c>
    </row>
    <row r="14" spans="1:10">
      <c r="A14" t="s">
        <v>140</v>
      </c>
      <c r="B14" s="35">
        <f>250000*Main!B14/12</f>
        <v>625</v>
      </c>
      <c r="C14" t="s">
        <v>135</v>
      </c>
    </row>
    <row r="15" spans="1:10">
      <c r="A15" t="s">
        <v>143</v>
      </c>
      <c r="B15" s="35">
        <f>250000/Main!B15</f>
        <v>4166.666666666667</v>
      </c>
      <c r="C15" t="s">
        <v>135</v>
      </c>
      <c r="I15" s="33" t="s">
        <v>138</v>
      </c>
      <c r="J15" s="34"/>
    </row>
    <row r="16" spans="1:10">
      <c r="I16" t="s">
        <v>1</v>
      </c>
      <c r="J16" t="s">
        <v>282</v>
      </c>
    </row>
    <row r="17" spans="9:10">
      <c r="I17" t="s">
        <v>260</v>
      </c>
      <c r="J17" t="s">
        <v>283</v>
      </c>
    </row>
    <row r="18" spans="9:10">
      <c r="I18" t="s">
        <v>212</v>
      </c>
      <c r="J18" t="s">
        <v>284</v>
      </c>
    </row>
    <row r="19" spans="9:10">
      <c r="I19" t="s">
        <v>285</v>
      </c>
      <c r="J19" t="s">
        <v>286</v>
      </c>
    </row>
    <row r="20" spans="9:10">
      <c r="I20" t="s">
        <v>287</v>
      </c>
      <c r="J20" t="s">
        <v>288</v>
      </c>
    </row>
    <row r="21" spans="9:10">
      <c r="I21" t="s">
        <v>289</v>
      </c>
      <c r="J21" t="s">
        <v>290</v>
      </c>
    </row>
    <row r="22" spans="9:10">
      <c r="I22" t="s">
        <v>291</v>
      </c>
      <c r="J22" t="s">
        <v>292</v>
      </c>
    </row>
    <row r="23" spans="9:10">
      <c r="I23" t="s">
        <v>280</v>
      </c>
      <c r="J23" t="s">
        <v>293</v>
      </c>
    </row>
    <row r="24" spans="9:10">
      <c r="I24" t="s">
        <v>294</v>
      </c>
      <c r="J24" t="s">
        <v>295</v>
      </c>
    </row>
    <row r="25" spans="9:10">
      <c r="I25" t="s">
        <v>296</v>
      </c>
      <c r="J25" t="s">
        <v>297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6"/>
  <sheetViews>
    <sheetView topLeftCell="A20" workbookViewId="0">
      <selection activeCell="I27" sqref="I27"/>
    </sheetView>
  </sheetViews>
  <sheetFormatPr defaultRowHeight="14.45"/>
  <cols>
    <col min="1" max="1" width="14" customWidth="1"/>
    <col min="2" max="2" width="12" customWidth="1"/>
    <col min="3" max="3" width="14" customWidth="1"/>
    <col min="4" max="4" width="12" customWidth="1"/>
    <col min="5" max="6" width="10" customWidth="1"/>
    <col min="7" max="7" width="14" customWidth="1"/>
    <col min="9" max="9" width="38" customWidth="1"/>
  </cols>
  <sheetData>
    <row r="1" spans="1:9">
      <c r="A1" s="58" t="s">
        <v>298</v>
      </c>
      <c r="B1" s="57"/>
      <c r="C1" s="57"/>
      <c r="D1" s="57"/>
      <c r="E1" s="57"/>
      <c r="F1" s="57"/>
      <c r="G1" s="57"/>
    </row>
    <row r="2" spans="1:9">
      <c r="A2" s="6" t="s">
        <v>299</v>
      </c>
      <c r="B2" s="6" t="s">
        <v>300</v>
      </c>
      <c r="C2" s="6" t="s">
        <v>301</v>
      </c>
      <c r="D2" s="6" t="s">
        <v>302</v>
      </c>
      <c r="E2" s="6" t="s">
        <v>303</v>
      </c>
      <c r="F2" s="6" t="s">
        <v>304</v>
      </c>
      <c r="G2" s="6" t="s">
        <v>305</v>
      </c>
      <c r="I2" s="20" t="s">
        <v>77</v>
      </c>
    </row>
    <row r="3" spans="1:9">
      <c r="A3" s="5">
        <v>1.5</v>
      </c>
      <c r="B3" s="5">
        <v>48.3</v>
      </c>
      <c r="C3" s="5">
        <v>3</v>
      </c>
      <c r="D3" s="5">
        <v>0.26</v>
      </c>
      <c r="E3" s="5">
        <v>0</v>
      </c>
      <c r="F3" s="5">
        <v>0</v>
      </c>
      <c r="G3" s="5">
        <v>6</v>
      </c>
      <c r="I3" s="20" t="s">
        <v>306</v>
      </c>
    </row>
    <row r="4" spans="1:9">
      <c r="A4" s="5">
        <v>1.5</v>
      </c>
      <c r="B4" s="5">
        <v>48.3</v>
      </c>
      <c r="C4" s="5">
        <v>4.5</v>
      </c>
      <c r="D4" s="5">
        <v>0.22</v>
      </c>
      <c r="E4" s="5">
        <v>0</v>
      </c>
      <c r="F4" s="5">
        <v>0</v>
      </c>
      <c r="G4" s="5">
        <v>7</v>
      </c>
      <c r="I4" s="20" t="s">
        <v>307</v>
      </c>
    </row>
    <row r="5" spans="1:9">
      <c r="A5" s="5">
        <v>1.5</v>
      </c>
      <c r="B5" s="5">
        <v>48.3</v>
      </c>
      <c r="C5" s="5">
        <v>6</v>
      </c>
      <c r="D5" s="5">
        <v>0.18</v>
      </c>
      <c r="E5" s="5">
        <v>0</v>
      </c>
      <c r="F5" s="5">
        <v>0</v>
      </c>
      <c r="G5" s="5">
        <v>8</v>
      </c>
      <c r="I5" s="20" t="s">
        <v>308</v>
      </c>
    </row>
    <row r="6" spans="1:9">
      <c r="A6" s="5">
        <v>2</v>
      </c>
      <c r="B6" s="5">
        <v>60.3</v>
      </c>
      <c r="C6" s="5">
        <v>3</v>
      </c>
      <c r="D6" s="5">
        <v>0.24</v>
      </c>
      <c r="E6" s="5">
        <v>0</v>
      </c>
      <c r="F6" s="5">
        <v>0</v>
      </c>
      <c r="G6" s="5">
        <v>6</v>
      </c>
    </row>
    <row r="7" spans="1:9">
      <c r="A7" s="5">
        <v>2</v>
      </c>
      <c r="B7" s="5">
        <v>60.3</v>
      </c>
      <c r="C7" s="5">
        <v>4.5</v>
      </c>
      <c r="D7" s="5">
        <v>0.2</v>
      </c>
      <c r="E7" s="5">
        <v>0</v>
      </c>
      <c r="F7" s="5">
        <v>0</v>
      </c>
      <c r="G7" s="5">
        <v>7</v>
      </c>
    </row>
    <row r="8" spans="1:9">
      <c r="A8" s="5">
        <v>2</v>
      </c>
      <c r="B8" s="5">
        <v>60.3</v>
      </c>
      <c r="C8" s="5">
        <v>6</v>
      </c>
      <c r="D8" s="5">
        <v>0.17</v>
      </c>
      <c r="E8" s="5">
        <v>0</v>
      </c>
      <c r="F8" s="5">
        <v>0</v>
      </c>
      <c r="G8" s="5">
        <v>8</v>
      </c>
    </row>
    <row r="9" spans="1:9">
      <c r="A9" s="5">
        <v>3</v>
      </c>
      <c r="B9" s="5">
        <v>88.9</v>
      </c>
      <c r="C9" s="5">
        <v>4.5</v>
      </c>
      <c r="D9" s="5">
        <v>0.19</v>
      </c>
      <c r="E9" s="5">
        <v>0</v>
      </c>
      <c r="F9" s="5">
        <v>0</v>
      </c>
      <c r="G9" s="5">
        <v>8</v>
      </c>
    </row>
    <row r="10" spans="1:9">
      <c r="A10" s="5">
        <v>3</v>
      </c>
      <c r="B10" s="5">
        <v>88.9</v>
      </c>
      <c r="C10" s="5">
        <v>6</v>
      </c>
      <c r="D10" s="5">
        <v>0.16</v>
      </c>
      <c r="E10" s="5">
        <v>0</v>
      </c>
      <c r="F10" s="5">
        <v>0</v>
      </c>
      <c r="G10" s="5">
        <v>9</v>
      </c>
    </row>
    <row r="11" spans="1:9">
      <c r="A11" s="5">
        <v>3</v>
      </c>
      <c r="B11" s="5">
        <v>88.9</v>
      </c>
      <c r="C11" s="5">
        <v>8</v>
      </c>
      <c r="D11" s="5">
        <v>0.13</v>
      </c>
      <c r="E11" s="5">
        <v>0</v>
      </c>
      <c r="F11" s="5">
        <v>0</v>
      </c>
      <c r="G11" s="5">
        <v>10</v>
      </c>
    </row>
    <row r="12" spans="1:9">
      <c r="A12" s="5">
        <v>4</v>
      </c>
      <c r="B12" s="5">
        <v>114.3</v>
      </c>
      <c r="C12" s="5">
        <v>4.5</v>
      </c>
      <c r="D12" s="5">
        <v>0.17</v>
      </c>
      <c r="E12" s="5">
        <v>0</v>
      </c>
      <c r="F12" s="5">
        <v>0</v>
      </c>
      <c r="G12" s="5">
        <v>8</v>
      </c>
    </row>
    <row r="13" spans="1:9">
      <c r="A13" s="5">
        <v>4</v>
      </c>
      <c r="B13" s="5">
        <v>114.3</v>
      </c>
      <c r="C13" s="5">
        <v>6</v>
      </c>
      <c r="D13" s="5">
        <v>0.14000000000000001</v>
      </c>
      <c r="E13" s="5">
        <v>0</v>
      </c>
      <c r="F13" s="5">
        <v>0</v>
      </c>
      <c r="G13" s="5">
        <v>10</v>
      </c>
    </row>
    <row r="14" spans="1:9">
      <c r="A14" s="5">
        <v>4</v>
      </c>
      <c r="B14" s="5">
        <v>114.3</v>
      </c>
      <c r="C14" s="5">
        <v>8</v>
      </c>
      <c r="D14" s="5">
        <v>0.11</v>
      </c>
      <c r="E14" s="5">
        <v>0</v>
      </c>
      <c r="F14" s="5">
        <v>0</v>
      </c>
      <c r="G14" s="5">
        <v>12</v>
      </c>
    </row>
    <row r="15" spans="1:9">
      <c r="A15" s="5">
        <v>6</v>
      </c>
      <c r="B15" s="5">
        <v>168.3</v>
      </c>
      <c r="C15" s="5">
        <v>6</v>
      </c>
      <c r="D15" s="5">
        <v>0.12</v>
      </c>
      <c r="E15" s="5">
        <v>0</v>
      </c>
      <c r="F15" s="5">
        <v>0</v>
      </c>
      <c r="G15" s="5">
        <v>11</v>
      </c>
    </row>
    <row r="16" spans="1:9">
      <c r="A16" s="5">
        <v>6</v>
      </c>
      <c r="B16" s="5">
        <v>168.3</v>
      </c>
      <c r="C16" s="5">
        <v>8</v>
      </c>
      <c r="D16" s="5">
        <v>0.1</v>
      </c>
      <c r="E16" s="5">
        <v>0</v>
      </c>
      <c r="F16" s="5">
        <v>0</v>
      </c>
      <c r="G16" s="5">
        <v>13</v>
      </c>
    </row>
    <row r="17" spans="1:7">
      <c r="A17" s="5">
        <v>6</v>
      </c>
      <c r="B17" s="5">
        <v>168.3</v>
      </c>
      <c r="C17" s="5">
        <v>10</v>
      </c>
      <c r="D17" s="5">
        <v>8.5000000000000006E-2</v>
      </c>
      <c r="E17" s="5">
        <v>0</v>
      </c>
      <c r="F17" s="5">
        <v>0</v>
      </c>
      <c r="G17" s="5">
        <v>15</v>
      </c>
    </row>
    <row r="18" spans="1:7">
      <c r="A18" s="5">
        <v>8</v>
      </c>
      <c r="B18" s="5">
        <v>219.1</v>
      </c>
      <c r="C18" s="5">
        <v>6</v>
      </c>
      <c r="D18" s="5">
        <v>0.105</v>
      </c>
      <c r="E18" s="5">
        <v>0</v>
      </c>
      <c r="F18" s="5">
        <v>0</v>
      </c>
      <c r="G18" s="5">
        <v>12</v>
      </c>
    </row>
    <row r="19" spans="1:7">
      <c r="A19" s="5">
        <v>8</v>
      </c>
      <c r="B19" s="5">
        <v>219.1</v>
      </c>
      <c r="C19" s="5">
        <v>8</v>
      </c>
      <c r="D19" s="5">
        <v>8.7999999999999995E-2</v>
      </c>
      <c r="E19" s="5">
        <v>0</v>
      </c>
      <c r="F19" s="5">
        <v>0</v>
      </c>
      <c r="G19" s="5">
        <v>14</v>
      </c>
    </row>
    <row r="20" spans="1:7">
      <c r="A20" s="5">
        <v>8</v>
      </c>
      <c r="B20" s="5">
        <v>219.1</v>
      </c>
      <c r="C20" s="5">
        <v>12</v>
      </c>
      <c r="D20" s="5">
        <v>7.0000000000000007E-2</v>
      </c>
      <c r="E20" s="5">
        <v>0</v>
      </c>
      <c r="F20" s="5">
        <v>0</v>
      </c>
      <c r="G20" s="5">
        <v>17</v>
      </c>
    </row>
    <row r="21" spans="1:7">
      <c r="A21" s="5">
        <v>10</v>
      </c>
      <c r="B21" s="5">
        <v>273</v>
      </c>
      <c r="C21" s="5">
        <v>8</v>
      </c>
      <c r="D21" s="5">
        <v>0.08</v>
      </c>
      <c r="E21" s="5">
        <v>0</v>
      </c>
      <c r="F21" s="5">
        <v>0</v>
      </c>
      <c r="G21" s="5">
        <v>15</v>
      </c>
    </row>
    <row r="22" spans="1:7">
      <c r="A22" s="5">
        <v>10</v>
      </c>
      <c r="B22" s="5">
        <v>273</v>
      </c>
      <c r="C22" s="5">
        <v>10</v>
      </c>
      <c r="D22" s="5">
        <v>6.8000000000000005E-2</v>
      </c>
      <c r="E22" s="5">
        <v>0</v>
      </c>
      <c r="F22" s="5">
        <v>0</v>
      </c>
      <c r="G22" s="5">
        <v>17</v>
      </c>
    </row>
    <row r="23" spans="1:7">
      <c r="A23" s="5">
        <v>10</v>
      </c>
      <c r="B23" s="5">
        <v>273</v>
      </c>
      <c r="C23" s="5">
        <v>12</v>
      </c>
      <c r="D23" s="5">
        <v>5.8000000000000003E-2</v>
      </c>
      <c r="E23" s="5">
        <v>0</v>
      </c>
      <c r="F23" s="5">
        <v>0</v>
      </c>
      <c r="G23" s="5">
        <v>19</v>
      </c>
    </row>
    <row r="24" spans="1:7">
      <c r="A24" s="5">
        <v>12</v>
      </c>
      <c r="B24" s="5">
        <v>323.89999999999998</v>
      </c>
      <c r="C24" s="5">
        <v>8</v>
      </c>
      <c r="D24" s="5">
        <v>7.0000000000000007E-2</v>
      </c>
      <c r="E24" s="5">
        <v>0</v>
      </c>
      <c r="F24" s="5">
        <v>0</v>
      </c>
      <c r="G24" s="5">
        <v>16</v>
      </c>
    </row>
    <row r="25" spans="1:7">
      <c r="A25" s="5">
        <v>12</v>
      </c>
      <c r="B25" s="5">
        <v>323.89999999999998</v>
      </c>
      <c r="C25" s="5">
        <v>10</v>
      </c>
      <c r="D25" s="5">
        <v>0.06</v>
      </c>
      <c r="E25" s="5">
        <v>0</v>
      </c>
      <c r="F25" s="5">
        <v>0</v>
      </c>
      <c r="G25" s="5">
        <v>18</v>
      </c>
    </row>
    <row r="26" spans="1:7">
      <c r="A26" s="5">
        <v>12</v>
      </c>
      <c r="B26" s="5">
        <v>323.89999999999998</v>
      </c>
      <c r="C26" s="5">
        <v>12</v>
      </c>
      <c r="D26" s="5">
        <v>5.1999999999999998E-2</v>
      </c>
      <c r="E26" s="5">
        <v>0</v>
      </c>
      <c r="F26" s="5">
        <v>0</v>
      </c>
      <c r="G26" s="5">
        <v>20</v>
      </c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1"/>
  <sheetViews>
    <sheetView workbookViewId="0">
      <selection activeCell="D20" sqref="D20"/>
    </sheetView>
  </sheetViews>
  <sheetFormatPr defaultRowHeight="14.45"/>
  <cols>
    <col min="1" max="6" width="14" customWidth="1"/>
    <col min="7" max="7" width="16" customWidth="1"/>
    <col min="9" max="14" width="14" customWidth="1"/>
    <col min="16" max="17" width="14" customWidth="1"/>
  </cols>
  <sheetData>
    <row r="1" spans="1:17">
      <c r="A1" s="50" t="s">
        <v>309</v>
      </c>
      <c r="B1" s="54"/>
      <c r="C1" s="54"/>
      <c r="D1" s="54"/>
      <c r="E1" s="54"/>
      <c r="F1" s="54"/>
      <c r="G1" s="55"/>
      <c r="I1" s="50" t="s">
        <v>310</v>
      </c>
      <c r="J1" s="54"/>
      <c r="K1" s="54"/>
      <c r="L1" s="54"/>
      <c r="M1" s="54"/>
      <c r="N1" s="55"/>
      <c r="P1" s="50" t="s">
        <v>311</v>
      </c>
      <c r="Q1" s="55"/>
    </row>
    <row r="2" spans="1:17">
      <c r="A2" s="2" t="s">
        <v>312</v>
      </c>
      <c r="B2" s="2" t="s">
        <v>313</v>
      </c>
      <c r="C2" s="2" t="s">
        <v>111</v>
      </c>
      <c r="D2" s="2" t="s">
        <v>314</v>
      </c>
      <c r="E2" s="2" t="s">
        <v>315</v>
      </c>
      <c r="F2" s="2" t="s">
        <v>316</v>
      </c>
      <c r="G2" s="2" t="s">
        <v>317</v>
      </c>
      <c r="I2" s="2" t="s">
        <v>312</v>
      </c>
      <c r="J2" s="2" t="s">
        <v>313</v>
      </c>
      <c r="K2" s="2" t="s">
        <v>318</v>
      </c>
      <c r="L2" s="2" t="s">
        <v>319</v>
      </c>
      <c r="M2" s="2" t="s">
        <v>315</v>
      </c>
      <c r="N2" s="2" t="s">
        <v>316</v>
      </c>
      <c r="P2" s="2" t="s">
        <v>320</v>
      </c>
      <c r="Q2" s="2" t="s">
        <v>216</v>
      </c>
    </row>
    <row r="3" spans="1:17">
      <c r="A3" s="2">
        <v>5</v>
      </c>
      <c r="B3" s="2">
        <v>4.2</v>
      </c>
      <c r="C3" s="2">
        <v>7.0000000000000007E-2</v>
      </c>
      <c r="D3" s="2">
        <v>2.1999999999999999E-2</v>
      </c>
      <c r="E3" s="2">
        <v>9</v>
      </c>
      <c r="F3" s="2">
        <v>13.74</v>
      </c>
      <c r="G3" s="2"/>
      <c r="I3" s="2">
        <v>21</v>
      </c>
      <c r="J3" s="2">
        <v>0.95</v>
      </c>
      <c r="K3" s="2">
        <v>0.22</v>
      </c>
      <c r="L3" s="2">
        <v>0.04</v>
      </c>
      <c r="M3" s="2">
        <v>18</v>
      </c>
      <c r="N3" s="2">
        <v>57.7</v>
      </c>
      <c r="P3" s="2">
        <v>10</v>
      </c>
      <c r="Q3" s="2">
        <v>9</v>
      </c>
    </row>
    <row r="4" spans="1:17">
      <c r="A4" s="2">
        <v>6</v>
      </c>
      <c r="B4" s="2">
        <v>3.8</v>
      </c>
      <c r="C4" s="2">
        <v>7.8E-2</v>
      </c>
      <c r="D4" s="2">
        <v>2.4E-2</v>
      </c>
      <c r="E4" s="2">
        <v>10</v>
      </c>
      <c r="F4" s="2">
        <v>16.489999999999998</v>
      </c>
      <c r="G4" s="2"/>
      <c r="I4" s="2">
        <v>25</v>
      </c>
      <c r="J4" s="2">
        <v>0.75</v>
      </c>
      <c r="K4" s="2">
        <v>0.26</v>
      </c>
      <c r="L4" s="2">
        <v>0.05</v>
      </c>
      <c r="M4" s="2">
        <v>22</v>
      </c>
      <c r="N4" s="2">
        <v>68.69</v>
      </c>
      <c r="P4" s="2">
        <v>12</v>
      </c>
      <c r="Q4" s="2">
        <v>10</v>
      </c>
    </row>
    <row r="5" spans="1:17">
      <c r="A5" s="2">
        <v>8</v>
      </c>
      <c r="B5" s="2">
        <v>3.2</v>
      </c>
      <c r="C5" s="2">
        <v>0.09</v>
      </c>
      <c r="D5" s="2">
        <v>2.5999999999999999E-2</v>
      </c>
      <c r="E5" s="2">
        <v>11</v>
      </c>
      <c r="F5" s="2">
        <v>21.98</v>
      </c>
      <c r="G5" s="2"/>
      <c r="I5" s="2">
        <v>30</v>
      </c>
      <c r="J5" s="2">
        <v>0.6</v>
      </c>
      <c r="K5" s="2">
        <v>0.3</v>
      </c>
      <c r="L5" s="2">
        <v>0.06</v>
      </c>
      <c r="M5" s="2">
        <v>28</v>
      </c>
      <c r="N5" s="2">
        <v>82.42</v>
      </c>
      <c r="P5" s="2">
        <v>16</v>
      </c>
      <c r="Q5" s="2">
        <v>13</v>
      </c>
    </row>
    <row r="6" spans="1:17">
      <c r="A6" s="2">
        <v>10</v>
      </c>
      <c r="B6" s="2">
        <v>2.8</v>
      </c>
      <c r="C6" s="2">
        <v>0.10299999999999999</v>
      </c>
      <c r="D6" s="2">
        <v>2.8000000000000001E-2</v>
      </c>
      <c r="E6" s="2">
        <v>12</v>
      </c>
      <c r="F6" s="2">
        <v>27.48</v>
      </c>
      <c r="G6" s="2"/>
      <c r="I6" s="2">
        <v>40</v>
      </c>
      <c r="J6" s="2">
        <v>0.45</v>
      </c>
      <c r="K6" s="2">
        <v>0.42</v>
      </c>
      <c r="L6" s="2">
        <v>0.08</v>
      </c>
      <c r="M6" s="2">
        <v>38</v>
      </c>
      <c r="N6" s="2">
        <v>109.9</v>
      </c>
      <c r="P6" s="2">
        <v>20</v>
      </c>
      <c r="Q6" s="2">
        <v>17</v>
      </c>
    </row>
    <row r="7" spans="1:17">
      <c r="A7" s="2">
        <v>12</v>
      </c>
      <c r="B7" s="2">
        <v>2.4</v>
      </c>
      <c r="C7" s="2">
        <v>0.11600000000000001</v>
      </c>
      <c r="D7" s="2">
        <v>0.03</v>
      </c>
      <c r="E7" s="2">
        <v>13</v>
      </c>
      <c r="F7" s="2">
        <v>32.97</v>
      </c>
      <c r="G7" s="2"/>
      <c r="I7" s="2"/>
      <c r="J7" s="2"/>
      <c r="K7" s="2"/>
      <c r="L7" s="2"/>
      <c r="M7" s="2"/>
      <c r="N7" s="2"/>
      <c r="P7" s="2">
        <v>22</v>
      </c>
      <c r="Q7" s="2">
        <v>19</v>
      </c>
    </row>
    <row r="8" spans="1:17">
      <c r="A8" s="2">
        <v>16</v>
      </c>
      <c r="B8" s="2">
        <v>1.9</v>
      </c>
      <c r="C8" s="2">
        <v>0.13500000000000001</v>
      </c>
      <c r="D8" s="2">
        <v>3.3000000000000002E-2</v>
      </c>
      <c r="E8" s="2">
        <v>15</v>
      </c>
      <c r="F8" s="2">
        <v>43.96</v>
      </c>
      <c r="G8" s="2"/>
      <c r="P8" s="2">
        <v>26</v>
      </c>
      <c r="Q8" s="2">
        <v>24</v>
      </c>
    </row>
    <row r="9" spans="1:17">
      <c r="A9" s="2">
        <v>20</v>
      </c>
      <c r="B9" s="2">
        <v>1.4</v>
      </c>
      <c r="C9" s="2">
        <v>0.16200000000000001</v>
      </c>
      <c r="D9" s="2">
        <v>3.7999999999999999E-2</v>
      </c>
      <c r="E9" s="2">
        <v>18</v>
      </c>
      <c r="F9" s="2">
        <v>54.95</v>
      </c>
      <c r="G9" s="2"/>
      <c r="P9" s="2">
        <v>32</v>
      </c>
      <c r="Q9" s="2">
        <v>36</v>
      </c>
    </row>
    <row r="10" spans="1:17">
      <c r="P10" s="2">
        <v>40</v>
      </c>
      <c r="Q10" s="2">
        <v>55</v>
      </c>
    </row>
    <row r="11" spans="1:17">
      <c r="P11" s="2">
        <v>50</v>
      </c>
      <c r="Q11" s="2">
        <v>80</v>
      </c>
    </row>
  </sheetData>
  <mergeCells count="3">
    <mergeCell ref="P1:Q1"/>
    <mergeCell ref="I1:N1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Phichest Buala S.BDP</dc:creator>
  <cp:keywords/>
  <dc:description/>
  <cp:lastModifiedBy/>
  <cp:revision/>
  <dcterms:created xsi:type="dcterms:W3CDTF">2026-04-23T07:00:28Z</dcterms:created>
  <dcterms:modified xsi:type="dcterms:W3CDTF">2026-04-27T17:01:01Z</dcterms:modified>
  <cp:category/>
  <cp:contentStatus/>
</cp:coreProperties>
</file>